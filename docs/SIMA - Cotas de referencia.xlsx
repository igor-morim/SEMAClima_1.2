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NVxd50qmdwE21IH1pezLifjz2cLz/MQcBX2XKWx78vg="/>
    </ext>
  </extLst>
</workbook>
</file>

<file path=xl/sharedStrings.xml><?xml version="1.0" encoding="utf-8"?>
<sst xmlns="http://schemas.openxmlformats.org/spreadsheetml/2006/main" count="339" uniqueCount="133">
  <si>
    <t>Municipio</t>
  </si>
  <si>
    <t>Latitude</t>
  </si>
  <si>
    <t>Longitude</t>
  </si>
  <si>
    <t>s_emergencia</t>
  </si>
  <si>
    <t>s_alerta</t>
  </si>
  <si>
    <t>s_atencao</t>
  </si>
  <si>
    <t>c_normal</t>
  </si>
  <si>
    <t>c_atencao</t>
  </si>
  <si>
    <t>c_alerta</t>
  </si>
  <si>
    <t>c_emergencia</t>
  </si>
  <si>
    <t>R_Cota</t>
  </si>
  <si>
    <t>Estacao</t>
  </si>
  <si>
    <t>Rio</t>
  </si>
  <si>
    <t>Bacia</t>
  </si>
  <si>
    <t>Codigo</t>
  </si>
  <si>
    <t>Codigo_Origin</t>
  </si>
  <si>
    <t>Goiatins (TO)</t>
  </si>
  <si>
    <t>Hidroweb</t>
  </si>
  <si>
    <t>UHE Estreito Rio Manoel Alves Grande</t>
  </si>
  <si>
    <t>Manoel Alves Grande</t>
  </si>
  <si>
    <t>Bacia Hidr. do Tocantins</t>
  </si>
  <si>
    <t>Goiatins</t>
  </si>
  <si>
    <t>Carolina</t>
  </si>
  <si>
    <t>Sem Dados</t>
  </si>
  <si>
    <t>UHE Estreito - Montante 01</t>
  </si>
  <si>
    <t>Tocantins</t>
  </si>
  <si>
    <t>UHE Estreito Rio Farinha</t>
  </si>
  <si>
    <t>Farinha</t>
  </si>
  <si>
    <t>Estreito</t>
  </si>
  <si>
    <t>UHE Estreito Barramento</t>
  </si>
  <si>
    <t>Tocantinopólis (TO)</t>
  </si>
  <si>
    <t>UHE Estreito Jusante</t>
  </si>
  <si>
    <t>Itaguatins (TO)</t>
  </si>
  <si>
    <t>Descarreto</t>
  </si>
  <si>
    <t>Imperatriz</t>
  </si>
  <si>
    <t>Tucuruí Montande II</t>
  </si>
  <si>
    <t>Paragominas (PA)</t>
  </si>
  <si>
    <t>Fazenda Rural Zebu</t>
  </si>
  <si>
    <t>Gurupi</t>
  </si>
  <si>
    <t>Bacia Hidr. do Gurupi</t>
  </si>
  <si>
    <t>Viseu (PA)</t>
  </si>
  <si>
    <t>Alto Bonito</t>
  </si>
  <si>
    <t>Barra do Corda</t>
  </si>
  <si>
    <t>SDS/SEMA</t>
  </si>
  <si>
    <t>Mearim</t>
  </si>
  <si>
    <t>Bacia Hidr. do Mearim</t>
  </si>
  <si>
    <t>São Roberto</t>
  </si>
  <si>
    <t>Santa Vitória</t>
  </si>
  <si>
    <t>Joselândia</t>
  </si>
  <si>
    <t>Flores</t>
  </si>
  <si>
    <t>Pedreiras</t>
  </si>
  <si>
    <t>Pedreiras II</t>
  </si>
  <si>
    <t>São Luiz Gonzaga</t>
  </si>
  <si>
    <t>Bacabal</t>
  </si>
  <si>
    <t>Grajaú</t>
  </si>
  <si>
    <t>Grajaú II</t>
  </si>
  <si>
    <t>Bela Vista do Maranhão</t>
  </si>
  <si>
    <t>Aratoí Grande</t>
  </si>
  <si>
    <t>Mirador</t>
  </si>
  <si>
    <t>Itapecuru</t>
  </si>
  <si>
    <t>Bacia Hidr. do Itapecuru</t>
  </si>
  <si>
    <t>Colinas</t>
  </si>
  <si>
    <t>Governador Eugenio Barros</t>
  </si>
  <si>
    <t>Montevidéu</t>
  </si>
  <si>
    <t>Caxias</t>
  </si>
  <si>
    <t>Codó</t>
  </si>
  <si>
    <t>Coroatá</t>
  </si>
  <si>
    <t>SACE</t>
  </si>
  <si>
    <t>Cantanhede</t>
  </si>
  <si>
    <t>Itapecuru-Mirim</t>
  </si>
  <si>
    <t>Vargem Grande</t>
  </si>
  <si>
    <t>Munim</t>
  </si>
  <si>
    <t>Bacia Hidr. do Munim</t>
  </si>
  <si>
    <t>São Benedito do Rio Preto</t>
  </si>
  <si>
    <t>São Benedito</t>
  </si>
  <si>
    <t>Preto</t>
  </si>
  <si>
    <t>Iguará</t>
  </si>
  <si>
    <t>Alto Parnaíba</t>
  </si>
  <si>
    <t>Fazenda União</t>
  </si>
  <si>
    <t>Parnaíba</t>
  </si>
  <si>
    <t>Bacia Hidr. do Parnaíba</t>
  </si>
  <si>
    <t>UHE Boa Esperança - Montante 02</t>
  </si>
  <si>
    <t>Tasso Fragoso</t>
  </si>
  <si>
    <t>Fazenda Paracati II</t>
  </si>
  <si>
    <t>Ribeiro Gonçalves (PI)</t>
  </si>
  <si>
    <t>UHE Boa Esperança - Montante 01</t>
  </si>
  <si>
    <t>Ribeiro Gonçalves</t>
  </si>
  <si>
    <t>Uruçuí (PI)</t>
  </si>
  <si>
    <t>Sítio Velho</t>
  </si>
  <si>
    <t>Balsas</t>
  </si>
  <si>
    <t>UHE Boa Esperança - Balsas 02</t>
  </si>
  <si>
    <t>Rio das Balsas</t>
  </si>
  <si>
    <t>São Felix de Balsas</t>
  </si>
  <si>
    <t>UHE Boa Esperança - Balsas 01</t>
  </si>
  <si>
    <t>São Félix de Balsas</t>
  </si>
  <si>
    <t>Barão de Grajaú</t>
  </si>
  <si>
    <t>Palmeirais (PI)</t>
  </si>
  <si>
    <t>Fazenda Veneza</t>
  </si>
  <si>
    <t>Teresina (PI)</t>
  </si>
  <si>
    <t>Teresina - CHESF</t>
  </si>
  <si>
    <t>Coelho Neto</t>
  </si>
  <si>
    <t>Luzilândia (PI)</t>
  </si>
  <si>
    <t>Luzilândia</t>
  </si>
  <si>
    <t>São Luís</t>
  </si>
  <si>
    <t>UEMA</t>
  </si>
  <si>
    <t>São Luís - Corpo De Bombeiro</t>
  </si>
  <si>
    <t>Alcântara</t>
  </si>
  <si>
    <t>São Bento</t>
  </si>
  <si>
    <t>Zé Doca</t>
  </si>
  <si>
    <t>Santa Inês</t>
  </si>
  <si>
    <t>Açailândia</t>
  </si>
  <si>
    <t>Sítio Novo</t>
  </si>
  <si>
    <t>Loreto</t>
  </si>
  <si>
    <t>Urbano Santos</t>
  </si>
  <si>
    <t>Barreirinhas</t>
  </si>
  <si>
    <t>Centro do Guilherme</t>
  </si>
  <si>
    <t>SEMA</t>
  </si>
  <si>
    <t>Maracaçumé</t>
  </si>
  <si>
    <t>Itaipava do Grajaú</t>
  </si>
  <si>
    <t>Vitorino Freire</t>
  </si>
  <si>
    <t>Bom Jesus das Selvas</t>
  </si>
  <si>
    <t>Pindaré</t>
  </si>
  <si>
    <t>Bom Jardim</t>
  </si>
  <si>
    <t>Alto Alegre do Pindaré</t>
  </si>
  <si>
    <t>Jenipapo dos Vieiras</t>
  </si>
  <si>
    <t>Humberto de Campos</t>
  </si>
  <si>
    <t>Periá</t>
  </si>
  <si>
    <t>Pinheiro</t>
  </si>
  <si>
    <t>Pericuma</t>
  </si>
  <si>
    <t>Preguiças</t>
  </si>
  <si>
    <t>Nova Olinda do Maranhão</t>
  </si>
  <si>
    <t>Turiaçu</t>
  </si>
  <si>
    <t>Santa Helena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</si>
</sst>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3" width="10.88"/>
    <col customWidth="1" min="4" max="4" width="11.75"/>
    <col customWidth="1" min="5" max="5" width="7.13"/>
    <col customWidth="1" min="6" max="6" width="8.75"/>
    <col customWidth="1" min="7" max="7" width="8.13"/>
    <col customWidth="1" min="8" max="8" width="8.75"/>
    <col customWidth="1" min="9" max="9" width="7.13"/>
    <col customWidth="1" min="10" max="10" width="11.75"/>
    <col customWidth="1" min="11" max="11" width="9.5"/>
    <col customWidth="1" min="12" max="12" width="30.25"/>
    <col customWidth="1" min="13" max="13" width="17.5"/>
    <col customWidth="1" min="14" max="14" width="19.13"/>
    <col customWidth="1" min="15" max="15" width="8.0"/>
    <col customWidth="1" min="16" max="16" width="12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</row>
    <row r="2" ht="15.75" customHeight="1">
      <c r="A2" s="6" t="s">
        <v>16</v>
      </c>
      <c r="B2" s="7">
        <v>-7.708490972</v>
      </c>
      <c r="C2" s="7">
        <v>-47.31141081</v>
      </c>
      <c r="D2" s="8">
        <f>IFERROR(__xludf.DUMMYFUNCTION("IMPORTRANGE(""https://docs.google.com/spreadsheets/d/1Rjc6gVmORSjqdaRGD3vQ9YcW0RepKpU6VjxR1gqbnHI"",""Estações!H1"")"),50.0)</f>
        <v>50</v>
      </c>
      <c r="E2" s="8">
        <f>IFERROR(__xludf.DUMMYFUNCTION("IMPORTRANGE(""https://docs.google.com/spreadsheets/d/1Rjc6gVmORSjqdaRGD3vQ9YcW0RepKpU6VjxR1gqbnHI"",""Estações!i1"")"),62.0)</f>
        <v>62</v>
      </c>
      <c r="F2" s="8">
        <f>IFERROR(__xludf.DUMMYFUNCTION("IMPORTRANGE(""https://docs.google.com/spreadsheets/d/1Rjc6gVmORSjqdaRGD3vQ9YcW0RepKpU6VjxR1gqbnHI"",""Estações!J1"")"),89.0)</f>
        <v>89</v>
      </c>
      <c r="G2" s="9">
        <v>97.0</v>
      </c>
      <c r="H2" s="9">
        <v>252.0</v>
      </c>
      <c r="I2" s="9">
        <v>324.0</v>
      </c>
      <c r="J2" s="9">
        <v>356.0</v>
      </c>
      <c r="K2" s="9" t="s">
        <v>17</v>
      </c>
      <c r="L2" s="9" t="s">
        <v>18</v>
      </c>
      <c r="M2" s="9" t="s">
        <v>19</v>
      </c>
      <c r="N2" s="9" t="s">
        <v>20</v>
      </c>
      <c r="O2" s="10">
        <v>2.3249E7</v>
      </c>
      <c r="P2" s="10">
        <v>2.3249E7</v>
      </c>
      <c r="Q2" s="5"/>
      <c r="R2" s="5"/>
      <c r="S2" s="5"/>
      <c r="T2" s="5"/>
      <c r="U2" s="5"/>
      <c r="V2" s="5"/>
      <c r="W2" s="5"/>
      <c r="X2" s="5"/>
    </row>
    <row r="3" ht="15.75" customHeight="1">
      <c r="A3" s="6" t="s">
        <v>16</v>
      </c>
      <c r="B3" s="7">
        <v>-7.708235364</v>
      </c>
      <c r="C3" s="7">
        <v>-47.31198738</v>
      </c>
      <c r="D3" s="8">
        <v>54.0</v>
      </c>
      <c r="E3" s="8">
        <v>67.0</v>
      </c>
      <c r="F3" s="9">
        <v>96.0</v>
      </c>
      <c r="G3" s="9">
        <v>105.0</v>
      </c>
      <c r="H3" s="9">
        <v>287.0</v>
      </c>
      <c r="I3" s="9">
        <v>346.0</v>
      </c>
      <c r="J3" s="9">
        <v>381.0</v>
      </c>
      <c r="K3" s="9" t="s">
        <v>17</v>
      </c>
      <c r="L3" s="9" t="s">
        <v>21</v>
      </c>
      <c r="M3" s="9" t="s">
        <v>19</v>
      </c>
      <c r="N3" s="9" t="s">
        <v>20</v>
      </c>
      <c r="O3" s="10">
        <v>2.325E7</v>
      </c>
      <c r="P3" s="10">
        <v>2.325E7</v>
      </c>
      <c r="Q3" s="5"/>
      <c r="R3" s="5"/>
      <c r="S3" s="5"/>
      <c r="T3" s="5"/>
      <c r="U3" s="5"/>
      <c r="V3" s="5"/>
      <c r="W3" s="5"/>
      <c r="X3" s="5"/>
    </row>
    <row r="4" ht="15.75" customHeight="1">
      <c r="A4" s="6" t="s">
        <v>22</v>
      </c>
      <c r="B4" s="7">
        <v>-7.33</v>
      </c>
      <c r="C4" s="7">
        <v>-47.477</v>
      </c>
      <c r="D4" s="11"/>
      <c r="E4" s="11"/>
      <c r="F4" s="9"/>
      <c r="G4" s="9"/>
      <c r="H4" s="9"/>
      <c r="I4" s="9"/>
      <c r="J4" s="9"/>
      <c r="K4" s="9" t="s">
        <v>23</v>
      </c>
      <c r="L4" s="9" t="s">
        <v>24</v>
      </c>
      <c r="M4" s="9" t="s">
        <v>25</v>
      </c>
      <c r="N4" s="9" t="s">
        <v>20</v>
      </c>
      <c r="O4" s="10">
        <v>2.331E7</v>
      </c>
      <c r="P4" s="10">
        <v>2.331E7</v>
      </c>
      <c r="Q4" s="5"/>
      <c r="R4" s="5"/>
      <c r="S4" s="5"/>
      <c r="T4" s="5"/>
      <c r="U4" s="5"/>
      <c r="V4" s="5"/>
      <c r="W4" s="5"/>
      <c r="X4" s="5"/>
    </row>
    <row r="5" ht="15.75" customHeight="1">
      <c r="A5" s="6" t="s">
        <v>22</v>
      </c>
      <c r="B5" s="7">
        <v>-6.995277599</v>
      </c>
      <c r="C5" s="7">
        <v>-47.16527019</v>
      </c>
      <c r="D5" s="8">
        <v>102.0</v>
      </c>
      <c r="E5" s="8">
        <v>127.0</v>
      </c>
      <c r="F5" s="12">
        <v>181.0</v>
      </c>
      <c r="G5" s="9">
        <v>199.0</v>
      </c>
      <c r="H5" s="9">
        <v>250.0</v>
      </c>
      <c r="I5" s="9">
        <v>272.0</v>
      </c>
      <c r="J5" s="9">
        <v>299.0</v>
      </c>
      <c r="K5" s="9" t="s">
        <v>17</v>
      </c>
      <c r="L5" s="9" t="s">
        <v>26</v>
      </c>
      <c r="M5" s="9" t="s">
        <v>27</v>
      </c>
      <c r="N5" s="9" t="s">
        <v>20</v>
      </c>
      <c r="O5" s="10">
        <v>2.3466E7</v>
      </c>
      <c r="P5" s="10">
        <v>2.3466E7</v>
      </c>
      <c r="Q5" s="5"/>
      <c r="R5" s="5"/>
      <c r="S5" s="5"/>
      <c r="T5" s="5"/>
      <c r="U5" s="5"/>
      <c r="V5" s="5"/>
      <c r="W5" s="5"/>
      <c r="X5" s="5"/>
    </row>
    <row r="6" ht="15.75" customHeight="1">
      <c r="A6" s="6" t="s">
        <v>28</v>
      </c>
      <c r="B6" s="7">
        <v>-6.592</v>
      </c>
      <c r="C6" s="7">
        <v>-47.466</v>
      </c>
      <c r="D6" s="11"/>
      <c r="E6" s="11"/>
      <c r="F6" s="9"/>
      <c r="G6" s="9"/>
      <c r="H6" s="9"/>
      <c r="I6" s="9"/>
      <c r="J6" s="9"/>
      <c r="K6" s="9" t="s">
        <v>23</v>
      </c>
      <c r="L6" s="9" t="s">
        <v>29</v>
      </c>
      <c r="M6" s="9" t="s">
        <v>25</v>
      </c>
      <c r="N6" s="9" t="s">
        <v>20</v>
      </c>
      <c r="O6" s="10">
        <v>2.349E7</v>
      </c>
      <c r="P6" s="10">
        <v>2.349E7</v>
      </c>
      <c r="Q6" s="5"/>
      <c r="R6" s="5"/>
      <c r="S6" s="5"/>
      <c r="T6" s="5"/>
      <c r="U6" s="5"/>
      <c r="V6" s="5"/>
      <c r="W6" s="5"/>
      <c r="X6" s="5"/>
    </row>
    <row r="7" ht="15.75" customHeight="1">
      <c r="A7" s="6" t="s">
        <v>30</v>
      </c>
      <c r="B7" s="7">
        <v>-6.288969377</v>
      </c>
      <c r="C7" s="7">
        <v>-47.39185085</v>
      </c>
      <c r="D7" s="8">
        <v>59.0</v>
      </c>
      <c r="E7" s="8">
        <v>74.0</v>
      </c>
      <c r="F7" s="9">
        <v>105.0</v>
      </c>
      <c r="G7" s="9">
        <v>115.0</v>
      </c>
      <c r="H7" s="9">
        <v>352.0</v>
      </c>
      <c r="I7" s="9">
        <v>426.0</v>
      </c>
      <c r="J7" s="9">
        <v>469.0</v>
      </c>
      <c r="K7" s="9" t="s">
        <v>17</v>
      </c>
      <c r="L7" s="9" t="s">
        <v>31</v>
      </c>
      <c r="M7" s="9" t="s">
        <v>25</v>
      </c>
      <c r="N7" s="9" t="s">
        <v>20</v>
      </c>
      <c r="O7" s="10">
        <v>2.3495E7</v>
      </c>
      <c r="P7" s="10">
        <v>2.3495E7</v>
      </c>
      <c r="Q7" s="5"/>
      <c r="R7" s="5"/>
      <c r="S7" s="5"/>
      <c r="T7" s="5"/>
      <c r="U7" s="5"/>
      <c r="V7" s="5"/>
      <c r="W7" s="5"/>
      <c r="X7" s="5"/>
    </row>
    <row r="8" ht="15.75" customHeight="1">
      <c r="A8" s="6" t="s">
        <v>32</v>
      </c>
      <c r="B8" s="7">
        <v>-5.789446416</v>
      </c>
      <c r="C8" s="7">
        <v>-47.46918777</v>
      </c>
      <c r="D8" s="8">
        <v>55.0</v>
      </c>
      <c r="E8" s="8">
        <v>69.0</v>
      </c>
      <c r="F8" s="9">
        <v>98.0</v>
      </c>
      <c r="G8" s="9">
        <v>107.0</v>
      </c>
      <c r="H8" s="9">
        <v>311.0</v>
      </c>
      <c r="I8" s="9">
        <v>353.0</v>
      </c>
      <c r="J8" s="9">
        <v>388.0</v>
      </c>
      <c r="K8" s="9" t="s">
        <v>17</v>
      </c>
      <c r="L8" s="9" t="s">
        <v>33</v>
      </c>
      <c r="M8" s="9" t="s">
        <v>25</v>
      </c>
      <c r="N8" s="9" t="s">
        <v>20</v>
      </c>
      <c r="O8" s="10">
        <v>2.37E7</v>
      </c>
      <c r="P8" s="10">
        <v>2.37E7</v>
      </c>
      <c r="Q8" s="5"/>
      <c r="R8" s="5"/>
      <c r="S8" s="5"/>
      <c r="T8" s="5"/>
      <c r="U8" s="5"/>
      <c r="V8" s="5"/>
      <c r="W8" s="5"/>
      <c r="X8" s="5"/>
    </row>
    <row r="9" ht="15.75" customHeight="1">
      <c r="A9" s="6" t="s">
        <v>34</v>
      </c>
      <c r="B9" s="7">
        <v>-5.558242128</v>
      </c>
      <c r="C9" s="7">
        <v>-47.4825625</v>
      </c>
      <c r="D9" s="11"/>
      <c r="E9" s="11"/>
      <c r="F9" s="9"/>
      <c r="G9" s="9"/>
      <c r="H9" s="9"/>
      <c r="I9" s="9"/>
      <c r="J9" s="9"/>
      <c r="K9" s="9" t="s">
        <v>23</v>
      </c>
      <c r="L9" s="9" t="s">
        <v>35</v>
      </c>
      <c r="M9" s="9" t="s">
        <v>25</v>
      </c>
      <c r="N9" s="9" t="s">
        <v>20</v>
      </c>
      <c r="O9" s="10">
        <v>2.379E7</v>
      </c>
      <c r="P9" s="10">
        <v>2.379E7</v>
      </c>
      <c r="Q9" s="5"/>
      <c r="R9" s="5"/>
      <c r="S9" s="5"/>
      <c r="T9" s="5"/>
      <c r="U9" s="5"/>
      <c r="V9" s="5"/>
      <c r="W9" s="5"/>
      <c r="X9" s="5"/>
    </row>
    <row r="10" ht="15.75" customHeight="1">
      <c r="A10" s="6" t="s">
        <v>36</v>
      </c>
      <c r="B10" s="7">
        <v>-3.319643019</v>
      </c>
      <c r="C10" s="7">
        <v>-46.84674059</v>
      </c>
      <c r="D10" s="8">
        <v>178.0</v>
      </c>
      <c r="E10" s="8">
        <v>223.0</v>
      </c>
      <c r="F10" s="9">
        <v>319.0</v>
      </c>
      <c r="G10" s="9">
        <v>350.0</v>
      </c>
      <c r="H10" s="9">
        <v>727.0</v>
      </c>
      <c r="I10" s="9">
        <v>898.0</v>
      </c>
      <c r="J10" s="9">
        <v>988.0</v>
      </c>
      <c r="K10" s="9" t="s">
        <v>17</v>
      </c>
      <c r="L10" s="9" t="s">
        <v>37</v>
      </c>
      <c r="M10" s="9" t="s">
        <v>38</v>
      </c>
      <c r="N10" s="9" t="s">
        <v>39</v>
      </c>
      <c r="O10" s="10">
        <v>3.254E7</v>
      </c>
      <c r="P10" s="10">
        <v>3.254E7</v>
      </c>
      <c r="Q10" s="5"/>
      <c r="R10" s="5"/>
      <c r="S10" s="5"/>
      <c r="T10" s="5"/>
      <c r="U10" s="5"/>
      <c r="V10" s="5"/>
      <c r="W10" s="5"/>
      <c r="X10" s="5"/>
    </row>
    <row r="11" ht="15.75" customHeight="1">
      <c r="A11" s="6" t="s">
        <v>40</v>
      </c>
      <c r="B11" s="7">
        <v>-1.800766345</v>
      </c>
      <c r="C11" s="7">
        <v>-46.31633276</v>
      </c>
      <c r="D11" s="8">
        <v>116.0</v>
      </c>
      <c r="E11" s="8">
        <v>145.0</v>
      </c>
      <c r="F11" s="9">
        <v>207.0</v>
      </c>
      <c r="G11" s="9">
        <v>227.0</v>
      </c>
      <c r="H11" s="9">
        <v>686.0</v>
      </c>
      <c r="I11" s="9">
        <v>762.0</v>
      </c>
      <c r="J11" s="9">
        <v>838.0</v>
      </c>
      <c r="K11" s="9" t="s">
        <v>17</v>
      </c>
      <c r="L11" s="9" t="s">
        <v>41</v>
      </c>
      <c r="M11" s="9" t="s">
        <v>38</v>
      </c>
      <c r="N11" s="9" t="s">
        <v>39</v>
      </c>
      <c r="O11" s="10">
        <v>3.262E7</v>
      </c>
      <c r="P11" s="10">
        <v>3.262E7</v>
      </c>
      <c r="Q11" s="10"/>
      <c r="R11" s="5"/>
      <c r="S11" s="5"/>
      <c r="T11" s="5"/>
      <c r="U11" s="5"/>
      <c r="V11" s="5"/>
      <c r="W11" s="5"/>
      <c r="X11" s="5"/>
    </row>
    <row r="12" ht="15.75" customHeight="1">
      <c r="A12" s="6" t="s">
        <v>42</v>
      </c>
      <c r="B12" s="7">
        <v>-5.501</v>
      </c>
      <c r="C12" s="7">
        <v>-45.244</v>
      </c>
      <c r="D12" s="8">
        <v>125.0</v>
      </c>
      <c r="E12" s="8">
        <v>139.0</v>
      </c>
      <c r="F12" s="12">
        <v>155.0</v>
      </c>
      <c r="G12" s="12">
        <v>218.0</v>
      </c>
      <c r="H12" s="12">
        <v>281.0</v>
      </c>
      <c r="I12" s="12">
        <v>370.0</v>
      </c>
      <c r="J12" s="12">
        <v>410.0</v>
      </c>
      <c r="K12" s="9" t="s">
        <v>43</v>
      </c>
      <c r="L12" s="9" t="s">
        <v>42</v>
      </c>
      <c r="M12" s="9" t="s">
        <v>44</v>
      </c>
      <c r="N12" s="9" t="s">
        <v>45</v>
      </c>
      <c r="O12" s="10">
        <v>3.325E7</v>
      </c>
      <c r="P12" s="10">
        <v>3.325E7</v>
      </c>
      <c r="Q12" s="5"/>
      <c r="R12" s="5"/>
      <c r="S12" s="5"/>
      <c r="T12" s="5"/>
      <c r="U12" s="5"/>
      <c r="V12" s="5"/>
      <c r="W12" s="5"/>
      <c r="X12" s="5"/>
    </row>
    <row r="13" ht="15.75" customHeight="1">
      <c r="A13" s="6" t="s">
        <v>46</v>
      </c>
      <c r="B13" s="7">
        <v>-5.101111</v>
      </c>
      <c r="C13" s="7">
        <v>-44.961666</v>
      </c>
      <c r="D13" s="13">
        <v>44.0</v>
      </c>
      <c r="E13" s="13">
        <v>70.0</v>
      </c>
      <c r="F13" s="12">
        <v>123.0</v>
      </c>
      <c r="G13" s="12">
        <v>218.0</v>
      </c>
      <c r="H13" s="12">
        <v>355.0</v>
      </c>
      <c r="I13" s="12">
        <v>430.0</v>
      </c>
      <c r="J13" s="12">
        <v>467.0</v>
      </c>
      <c r="K13" s="9" t="s">
        <v>43</v>
      </c>
      <c r="L13" s="9" t="s">
        <v>47</v>
      </c>
      <c r="M13" s="9" t="s">
        <v>44</v>
      </c>
      <c r="N13" s="9" t="s">
        <v>45</v>
      </c>
      <c r="O13" s="14">
        <v>3.326001E7</v>
      </c>
      <c r="P13" s="10">
        <v>3.326001E7</v>
      </c>
      <c r="Q13" s="5"/>
      <c r="R13" s="5"/>
      <c r="S13" s="5"/>
      <c r="T13" s="5"/>
      <c r="U13" s="5"/>
      <c r="V13" s="5"/>
      <c r="W13" s="5"/>
      <c r="X13" s="5"/>
    </row>
    <row r="14" ht="15.75" customHeight="1">
      <c r="A14" s="6" t="s">
        <v>48</v>
      </c>
      <c r="B14" s="7">
        <v>-4.925791</v>
      </c>
      <c r="C14" s="7">
        <v>-44.618611</v>
      </c>
      <c r="D14" s="15">
        <v>181.0</v>
      </c>
      <c r="E14" s="15">
        <v>201.0</v>
      </c>
      <c r="F14" s="16">
        <v>221.0</v>
      </c>
      <c r="G14" s="9">
        <v>342.0</v>
      </c>
      <c r="H14" s="9">
        <v>603.0</v>
      </c>
      <c r="I14" s="9">
        <v>635.0</v>
      </c>
      <c r="J14" s="9">
        <v>666.0</v>
      </c>
      <c r="K14" s="9" t="s">
        <v>43</v>
      </c>
      <c r="L14" s="9" t="s">
        <v>48</v>
      </c>
      <c r="M14" s="9" t="s">
        <v>49</v>
      </c>
      <c r="N14" s="9" t="s">
        <v>45</v>
      </c>
      <c r="O14" s="10">
        <v>3.327301E7</v>
      </c>
      <c r="P14" s="10">
        <v>3.327301E7</v>
      </c>
      <c r="Q14" s="5"/>
      <c r="R14" s="5"/>
      <c r="S14" s="5"/>
      <c r="T14" s="5"/>
      <c r="U14" s="5"/>
      <c r="V14" s="5"/>
      <c r="W14" s="5"/>
      <c r="X14" s="5"/>
    </row>
    <row r="15" ht="15.75" customHeight="1">
      <c r="A15" s="6" t="s">
        <v>50</v>
      </c>
      <c r="B15" s="7">
        <v>-4.570152</v>
      </c>
      <c r="C15" s="7">
        <v>-44.606269</v>
      </c>
      <c r="D15" s="15">
        <v>168.0</v>
      </c>
      <c r="E15" s="15">
        <v>187.0</v>
      </c>
      <c r="F15" s="16">
        <v>206.0</v>
      </c>
      <c r="G15" s="9">
        <v>251.0</v>
      </c>
      <c r="H15" s="9">
        <v>560.0</v>
      </c>
      <c r="I15" s="9">
        <v>650.0</v>
      </c>
      <c r="J15" s="9">
        <v>750.0</v>
      </c>
      <c r="K15" s="9" t="s">
        <v>43</v>
      </c>
      <c r="L15" s="9" t="s">
        <v>51</v>
      </c>
      <c r="M15" s="9" t="s">
        <v>44</v>
      </c>
      <c r="N15" s="9" t="s">
        <v>45</v>
      </c>
      <c r="O15" s="10">
        <v>3.3281E7</v>
      </c>
      <c r="P15" s="10">
        <v>3.3281E7</v>
      </c>
      <c r="Q15" s="5"/>
      <c r="R15" s="5"/>
      <c r="S15" s="5"/>
      <c r="T15" s="5"/>
      <c r="U15" s="5"/>
      <c r="V15" s="5"/>
      <c r="W15" s="5"/>
      <c r="X15" s="5"/>
    </row>
    <row r="16" ht="15.75" customHeight="1">
      <c r="A16" s="6" t="s">
        <v>52</v>
      </c>
      <c r="B16" s="7">
        <v>-4.37</v>
      </c>
      <c r="C16" s="7">
        <v>-44.6758</v>
      </c>
      <c r="D16" s="15">
        <v>64.0</v>
      </c>
      <c r="E16" s="15">
        <v>82.0</v>
      </c>
      <c r="F16" s="16">
        <v>96.0</v>
      </c>
      <c r="G16" s="12">
        <v>274.0</v>
      </c>
      <c r="H16" s="9">
        <v>452.0</v>
      </c>
      <c r="I16" s="9">
        <v>578.0</v>
      </c>
      <c r="J16" s="9">
        <v>636.0</v>
      </c>
      <c r="K16" s="9" t="s">
        <v>17</v>
      </c>
      <c r="L16" s="9" t="s">
        <v>52</v>
      </c>
      <c r="M16" s="9" t="s">
        <v>44</v>
      </c>
      <c r="N16" s="9" t="s">
        <v>45</v>
      </c>
      <c r="O16" s="17">
        <v>3.3286E7</v>
      </c>
      <c r="P16" s="10">
        <v>3.3286E7</v>
      </c>
      <c r="Q16" s="5"/>
      <c r="R16" s="5"/>
      <c r="S16" s="5"/>
      <c r="T16" s="5"/>
      <c r="U16" s="5"/>
      <c r="V16" s="5"/>
      <c r="W16" s="5"/>
      <c r="X16" s="5"/>
    </row>
    <row r="17" ht="15.75" customHeight="1">
      <c r="A17" s="6" t="s">
        <v>53</v>
      </c>
      <c r="B17" s="7">
        <v>-4.226666</v>
      </c>
      <c r="C17" s="7">
        <v>-44.772386</v>
      </c>
      <c r="D17" s="13">
        <v>123.0</v>
      </c>
      <c r="E17" s="13">
        <v>129.0</v>
      </c>
      <c r="F17" s="12">
        <v>135.0</v>
      </c>
      <c r="G17" s="9">
        <v>345.0</v>
      </c>
      <c r="H17" s="12">
        <v>450.0</v>
      </c>
      <c r="I17" s="9">
        <v>562.0</v>
      </c>
      <c r="J17" s="9">
        <v>703.0</v>
      </c>
      <c r="K17" s="9" t="s">
        <v>43</v>
      </c>
      <c r="L17" s="9" t="s">
        <v>53</v>
      </c>
      <c r="M17" s="9" t="s">
        <v>44</v>
      </c>
      <c r="N17" s="9" t="s">
        <v>45</v>
      </c>
      <c r="O17" s="10">
        <v>3.329E7</v>
      </c>
      <c r="P17" s="10">
        <v>3.329E7</v>
      </c>
      <c r="Q17" s="5"/>
      <c r="R17" s="5"/>
      <c r="S17" s="5"/>
      <c r="T17" s="5"/>
      <c r="U17" s="5"/>
      <c r="V17" s="5"/>
      <c r="W17" s="5"/>
      <c r="X17" s="5"/>
    </row>
    <row r="18" ht="15.75" customHeight="1">
      <c r="A18" s="6" t="s">
        <v>54</v>
      </c>
      <c r="B18" s="7">
        <v>-5.823675</v>
      </c>
      <c r="C18" s="7">
        <v>-46.142222</v>
      </c>
      <c r="D18" s="13">
        <v>184.0</v>
      </c>
      <c r="E18" s="13">
        <v>194.0</v>
      </c>
      <c r="F18" s="12">
        <v>204.0</v>
      </c>
      <c r="G18" s="9">
        <v>221.0</v>
      </c>
      <c r="H18" s="9">
        <v>413.0</v>
      </c>
      <c r="I18" s="9">
        <v>616.0</v>
      </c>
      <c r="J18" s="9">
        <v>880.0</v>
      </c>
      <c r="K18" s="9" t="s">
        <v>43</v>
      </c>
      <c r="L18" s="9" t="s">
        <v>55</v>
      </c>
      <c r="M18" s="9" t="s">
        <v>54</v>
      </c>
      <c r="N18" s="9" t="s">
        <v>45</v>
      </c>
      <c r="O18" s="10">
        <v>3.3321E7</v>
      </c>
      <c r="P18" s="10">
        <v>3.3321E7</v>
      </c>
      <c r="Q18" s="5"/>
      <c r="R18" s="5"/>
      <c r="S18" s="5"/>
      <c r="T18" s="5"/>
      <c r="U18" s="5"/>
      <c r="V18" s="5"/>
      <c r="W18" s="5"/>
      <c r="X18" s="5"/>
    </row>
    <row r="19" ht="15.75" customHeight="1">
      <c r="A19" s="6" t="s">
        <v>56</v>
      </c>
      <c r="B19" s="7">
        <v>-3.771944</v>
      </c>
      <c r="C19" s="7">
        <v>-45.218675</v>
      </c>
      <c r="D19" s="13">
        <v>36.0</v>
      </c>
      <c r="E19" s="13">
        <v>38.0</v>
      </c>
      <c r="F19" s="12">
        <v>150.0</v>
      </c>
      <c r="G19" s="9">
        <v>400.0</v>
      </c>
      <c r="H19" s="9">
        <v>600.0</v>
      </c>
      <c r="I19" s="9">
        <v>632.0</v>
      </c>
      <c r="J19" s="9">
        <v>665.0</v>
      </c>
      <c r="K19" s="9" t="s">
        <v>43</v>
      </c>
      <c r="L19" s="9" t="s">
        <v>57</v>
      </c>
      <c r="M19" s="9" t="s">
        <v>54</v>
      </c>
      <c r="N19" s="9" t="s">
        <v>45</v>
      </c>
      <c r="O19" s="14">
        <v>3.338001E7</v>
      </c>
      <c r="P19" s="10">
        <v>3.338001E7</v>
      </c>
      <c r="Q19" s="5"/>
      <c r="R19" s="5"/>
      <c r="S19" s="5"/>
      <c r="T19" s="5"/>
      <c r="U19" s="5"/>
      <c r="V19" s="5"/>
      <c r="W19" s="5"/>
      <c r="X19" s="5"/>
    </row>
    <row r="20" ht="15.75" customHeight="1">
      <c r="A20" s="6" t="s">
        <v>58</v>
      </c>
      <c r="B20" s="7">
        <v>-6.3708</v>
      </c>
      <c r="C20" s="7">
        <v>-44.3603</v>
      </c>
      <c r="D20" s="13">
        <v>74.0</v>
      </c>
      <c r="E20" s="13">
        <v>78.0</v>
      </c>
      <c r="F20" s="12">
        <v>230.0</v>
      </c>
      <c r="G20" s="9">
        <v>253.0</v>
      </c>
      <c r="H20" s="9">
        <v>350.0</v>
      </c>
      <c r="I20" s="9">
        <v>400.0</v>
      </c>
      <c r="J20" s="9">
        <v>450.0</v>
      </c>
      <c r="K20" s="9" t="s">
        <v>17</v>
      </c>
      <c r="L20" s="9" t="s">
        <v>58</v>
      </c>
      <c r="M20" s="9" t="s">
        <v>59</v>
      </c>
      <c r="N20" s="9" t="s">
        <v>60</v>
      </c>
      <c r="O20" s="10">
        <v>3.342E7</v>
      </c>
      <c r="P20" s="10">
        <v>3.342E7</v>
      </c>
      <c r="Q20" s="5"/>
      <c r="R20" s="5"/>
      <c r="S20" s="5"/>
      <c r="T20" s="5"/>
      <c r="U20" s="5"/>
      <c r="V20" s="5"/>
      <c r="W20" s="5"/>
      <c r="X20" s="5"/>
    </row>
    <row r="21" ht="15.75" customHeight="1">
      <c r="A21" s="6" t="s">
        <v>61</v>
      </c>
      <c r="B21" s="7">
        <v>-6.028112571</v>
      </c>
      <c r="C21" s="7">
        <v>-44.25267437</v>
      </c>
      <c r="D21" s="8">
        <v>34.0</v>
      </c>
      <c r="E21" s="8">
        <v>41.0</v>
      </c>
      <c r="F21" s="12">
        <v>62.0</v>
      </c>
      <c r="G21" s="9">
        <v>120.0</v>
      </c>
      <c r="H21" s="9">
        <v>180.0</v>
      </c>
      <c r="I21" s="9">
        <v>213.0</v>
      </c>
      <c r="J21" s="9">
        <v>350.0</v>
      </c>
      <c r="K21" s="9" t="s">
        <v>43</v>
      </c>
      <c r="L21" s="9" t="s">
        <v>61</v>
      </c>
      <c r="M21" s="9" t="s">
        <v>59</v>
      </c>
      <c r="N21" s="9" t="s">
        <v>60</v>
      </c>
      <c r="O21" s="10">
        <v>3.348E7</v>
      </c>
      <c r="P21" s="10">
        <v>3.348E7</v>
      </c>
      <c r="Q21" s="5"/>
      <c r="R21" s="5"/>
      <c r="S21" s="5"/>
      <c r="T21" s="5"/>
      <c r="U21" s="5"/>
      <c r="V21" s="5"/>
      <c r="W21" s="5"/>
      <c r="X21" s="5"/>
    </row>
    <row r="22" ht="15.75" customHeight="1">
      <c r="A22" s="6" t="s">
        <v>62</v>
      </c>
      <c r="B22" s="7">
        <v>-5.337</v>
      </c>
      <c r="C22" s="7">
        <v>-43.884</v>
      </c>
      <c r="D22" s="15">
        <v>95.0</v>
      </c>
      <c r="E22" s="15">
        <v>112.0</v>
      </c>
      <c r="F22" s="16">
        <v>129.0</v>
      </c>
      <c r="G22" s="9">
        <v>142.0</v>
      </c>
      <c r="H22" s="9">
        <v>294.0</v>
      </c>
      <c r="I22" s="9">
        <v>364.0</v>
      </c>
      <c r="J22" s="9">
        <v>400.0</v>
      </c>
      <c r="K22" s="9" t="s">
        <v>17</v>
      </c>
      <c r="L22" s="9" t="s">
        <v>63</v>
      </c>
      <c r="M22" s="9" t="s">
        <v>59</v>
      </c>
      <c r="N22" s="9" t="s">
        <v>60</v>
      </c>
      <c r="O22" s="10">
        <v>3.353E7</v>
      </c>
      <c r="P22" s="10">
        <v>3.353E7</v>
      </c>
      <c r="Q22" s="5"/>
      <c r="R22" s="5"/>
      <c r="S22" s="5"/>
      <c r="T22" s="5"/>
      <c r="U22" s="5"/>
      <c r="V22" s="5"/>
      <c r="W22" s="5"/>
      <c r="X22" s="5"/>
    </row>
    <row r="23" ht="15.75" customHeight="1">
      <c r="A23" s="6" t="s">
        <v>64</v>
      </c>
      <c r="B23" s="7">
        <v>-4.865177</v>
      </c>
      <c r="C23" s="7">
        <v>-43.368136</v>
      </c>
      <c r="D23" s="13">
        <v>48.0</v>
      </c>
      <c r="E23" s="13">
        <v>66.0</v>
      </c>
      <c r="F23" s="12">
        <v>101.0</v>
      </c>
      <c r="G23" s="12">
        <v>167.0</v>
      </c>
      <c r="H23" s="12">
        <v>440.0</v>
      </c>
      <c r="I23" s="12">
        <v>589.0</v>
      </c>
      <c r="J23" s="12">
        <v>663.0</v>
      </c>
      <c r="K23" s="9" t="s">
        <v>17</v>
      </c>
      <c r="L23" s="9" t="s">
        <v>64</v>
      </c>
      <c r="M23" s="9" t="s">
        <v>59</v>
      </c>
      <c r="N23" s="9" t="s">
        <v>60</v>
      </c>
      <c r="O23" s="10">
        <v>3.355E7</v>
      </c>
      <c r="P23" s="10">
        <v>3.355E7</v>
      </c>
      <c r="Q23" s="5"/>
      <c r="R23" s="5"/>
      <c r="S23" s="5"/>
      <c r="T23" s="5"/>
      <c r="U23" s="5"/>
      <c r="V23" s="5"/>
      <c r="W23" s="5"/>
      <c r="X23" s="5"/>
    </row>
    <row r="24" ht="15.75" customHeight="1">
      <c r="A24" s="6" t="s">
        <v>65</v>
      </c>
      <c r="B24" s="7">
        <v>-4.454944</v>
      </c>
      <c r="C24" s="7">
        <v>-43.879305</v>
      </c>
      <c r="D24" s="13">
        <v>57.0</v>
      </c>
      <c r="E24" s="13">
        <v>71.0</v>
      </c>
      <c r="F24" s="12">
        <v>99.0</v>
      </c>
      <c r="G24" s="12">
        <v>149.0</v>
      </c>
      <c r="H24" s="12">
        <v>464.0</v>
      </c>
      <c r="I24" s="12">
        <v>636.0</v>
      </c>
      <c r="J24" s="12">
        <v>722.0</v>
      </c>
      <c r="K24" s="9" t="s">
        <v>43</v>
      </c>
      <c r="L24" s="9" t="s">
        <v>65</v>
      </c>
      <c r="M24" s="9" t="s">
        <v>59</v>
      </c>
      <c r="N24" s="9" t="s">
        <v>60</v>
      </c>
      <c r="O24" s="10">
        <v>3.359E7</v>
      </c>
      <c r="P24" s="10">
        <v>3.359E7</v>
      </c>
      <c r="Q24" s="5"/>
      <c r="R24" s="5"/>
      <c r="S24" s="5"/>
      <c r="T24" s="5"/>
      <c r="U24" s="5"/>
      <c r="V24" s="5"/>
      <c r="W24" s="5"/>
      <c r="X24" s="5"/>
    </row>
    <row r="25" ht="15.75" customHeight="1">
      <c r="A25" s="6" t="s">
        <v>66</v>
      </c>
      <c r="B25" s="7">
        <v>-4.126</v>
      </c>
      <c r="C25" s="7">
        <v>-44.13</v>
      </c>
      <c r="D25" s="13">
        <v>54.0</v>
      </c>
      <c r="E25" s="13">
        <v>64.0</v>
      </c>
      <c r="F25" s="12">
        <v>132.0</v>
      </c>
      <c r="G25" s="9">
        <v>145.0</v>
      </c>
      <c r="H25" s="9">
        <v>740.0</v>
      </c>
      <c r="I25" s="9">
        <v>860.0</v>
      </c>
      <c r="J25" s="9">
        <v>1028.0</v>
      </c>
      <c r="K25" s="9" t="s">
        <v>67</v>
      </c>
      <c r="L25" s="9" t="s">
        <v>66</v>
      </c>
      <c r="M25" s="9" t="s">
        <v>59</v>
      </c>
      <c r="N25" s="9" t="s">
        <v>60</v>
      </c>
      <c r="O25" s="10">
        <v>3.363E7</v>
      </c>
      <c r="P25" s="10">
        <v>3.363E7</v>
      </c>
      <c r="Q25" s="5"/>
      <c r="R25" s="5"/>
      <c r="S25" s="5"/>
      <c r="T25" s="5"/>
      <c r="U25" s="5"/>
      <c r="V25" s="5"/>
      <c r="W25" s="5"/>
      <c r="X25" s="5"/>
    </row>
    <row r="26" ht="15.75" customHeight="1">
      <c r="A26" s="6" t="s">
        <v>68</v>
      </c>
      <c r="B26" s="7">
        <v>-3.628</v>
      </c>
      <c r="C26" s="7">
        <v>-44.379</v>
      </c>
      <c r="D26" s="13">
        <v>88.0</v>
      </c>
      <c r="E26" s="13">
        <v>98.0</v>
      </c>
      <c r="F26" s="12">
        <v>244.0</v>
      </c>
      <c r="G26" s="9">
        <v>268.0</v>
      </c>
      <c r="H26" s="9">
        <v>1050.0</v>
      </c>
      <c r="I26" s="9">
        <v>1230.0</v>
      </c>
      <c r="J26" s="9">
        <v>1360.0</v>
      </c>
      <c r="K26" s="9" t="s">
        <v>67</v>
      </c>
      <c r="L26" s="9" t="s">
        <v>68</v>
      </c>
      <c r="M26" s="9" t="s">
        <v>59</v>
      </c>
      <c r="N26" s="9" t="s">
        <v>60</v>
      </c>
      <c r="O26" s="10">
        <v>3.368E7</v>
      </c>
      <c r="P26" s="10">
        <v>3.368E7</v>
      </c>
      <c r="Q26" s="5"/>
      <c r="R26" s="5"/>
      <c r="S26" s="5"/>
      <c r="T26" s="5"/>
      <c r="U26" s="5"/>
      <c r="V26" s="5"/>
      <c r="W26" s="5"/>
      <c r="X26" s="5"/>
    </row>
    <row r="27" ht="15.75" customHeight="1">
      <c r="A27" s="18" t="s">
        <v>69</v>
      </c>
      <c r="B27" s="19">
        <v>-3.392</v>
      </c>
      <c r="C27" s="19">
        <v>-44.362</v>
      </c>
      <c r="D27" s="13">
        <v>56.0</v>
      </c>
      <c r="E27" s="13">
        <v>70.0</v>
      </c>
      <c r="F27" s="12">
        <v>110.0</v>
      </c>
      <c r="G27" s="12">
        <v>200.0</v>
      </c>
      <c r="H27" s="12">
        <v>1150.0</v>
      </c>
      <c r="I27" s="12">
        <v>1330.0</v>
      </c>
      <c r="J27" s="12">
        <v>1460.0</v>
      </c>
      <c r="K27" s="12" t="s">
        <v>17</v>
      </c>
      <c r="L27" s="12" t="s">
        <v>69</v>
      </c>
      <c r="M27" s="12" t="s">
        <v>59</v>
      </c>
      <c r="N27" s="12" t="s">
        <v>60</v>
      </c>
      <c r="O27" s="17">
        <v>3.36901E7</v>
      </c>
      <c r="P27" s="17">
        <v>3.36901E7</v>
      </c>
      <c r="Q27" s="5"/>
      <c r="R27" s="5"/>
      <c r="S27" s="5"/>
      <c r="T27" s="5"/>
      <c r="U27" s="5"/>
      <c r="V27" s="5"/>
      <c r="W27" s="5"/>
      <c r="X27" s="5"/>
    </row>
    <row r="28" ht="15.75" customHeight="1">
      <c r="A28" s="6" t="s">
        <v>70</v>
      </c>
      <c r="B28" s="7">
        <v>-3.577961</v>
      </c>
      <c r="C28" s="7">
        <v>-43.703902</v>
      </c>
      <c r="D28" s="13">
        <v>70.0</v>
      </c>
      <c r="E28" s="13">
        <v>74.0</v>
      </c>
      <c r="F28" s="12">
        <v>78.0</v>
      </c>
      <c r="G28" s="9">
        <v>224.0</v>
      </c>
      <c r="H28" s="9">
        <v>829.0</v>
      </c>
      <c r="I28" s="9">
        <v>872.0</v>
      </c>
      <c r="J28" s="9">
        <v>916.0</v>
      </c>
      <c r="K28" s="9" t="s">
        <v>43</v>
      </c>
      <c r="L28" s="9" t="s">
        <v>71</v>
      </c>
      <c r="M28" s="9" t="s">
        <v>71</v>
      </c>
      <c r="N28" s="9" t="s">
        <v>72</v>
      </c>
      <c r="O28" s="10">
        <v>3.373E7</v>
      </c>
      <c r="P28" s="10">
        <v>3.373E7</v>
      </c>
      <c r="Q28" s="5"/>
      <c r="R28" s="5"/>
      <c r="S28" s="5"/>
      <c r="T28" s="5"/>
      <c r="U28" s="5"/>
      <c r="V28" s="5"/>
      <c r="W28" s="5"/>
      <c r="X28" s="5"/>
    </row>
    <row r="29" ht="15.75" customHeight="1">
      <c r="A29" s="6" t="s">
        <v>73</v>
      </c>
      <c r="B29" s="7">
        <v>-3.335</v>
      </c>
      <c r="C29" s="7">
        <v>-43.527136</v>
      </c>
      <c r="D29" s="13">
        <v>19.0</v>
      </c>
      <c r="E29" s="13">
        <v>20.0</v>
      </c>
      <c r="F29" s="12">
        <v>21.0</v>
      </c>
      <c r="G29" s="9">
        <v>95.0</v>
      </c>
      <c r="H29" s="9">
        <v>351.0</v>
      </c>
      <c r="I29" s="9">
        <v>370.0</v>
      </c>
      <c r="J29" s="9">
        <v>388.0</v>
      </c>
      <c r="K29" s="9" t="s">
        <v>43</v>
      </c>
      <c r="L29" s="9" t="s">
        <v>74</v>
      </c>
      <c r="M29" s="9" t="s">
        <v>75</v>
      </c>
      <c r="N29" s="9" t="s">
        <v>72</v>
      </c>
      <c r="O29" s="10">
        <v>3.3760005E7</v>
      </c>
      <c r="P29" s="10">
        <v>3.3760005E7</v>
      </c>
      <c r="Q29" s="5"/>
      <c r="R29" s="5"/>
      <c r="S29" s="5"/>
      <c r="T29" s="5"/>
      <c r="U29" s="5"/>
      <c r="V29" s="5"/>
      <c r="W29" s="5"/>
      <c r="X29" s="5"/>
    </row>
    <row r="30" ht="15.75" customHeight="1">
      <c r="A30" s="6" t="s">
        <v>70</v>
      </c>
      <c r="B30" s="7">
        <v>-3.552963</v>
      </c>
      <c r="C30" s="7">
        <v>-43.873555</v>
      </c>
      <c r="D30" s="13">
        <v>67.0</v>
      </c>
      <c r="E30" s="13">
        <v>98.0</v>
      </c>
      <c r="F30" s="12">
        <v>121.0</v>
      </c>
      <c r="G30" s="9">
        <v>168.0</v>
      </c>
      <c r="H30" s="9">
        <v>640.0</v>
      </c>
      <c r="I30" s="9">
        <v>674.0</v>
      </c>
      <c r="J30" s="9">
        <v>707.0</v>
      </c>
      <c r="K30" s="9" t="s">
        <v>43</v>
      </c>
      <c r="L30" s="12" t="s">
        <v>70</v>
      </c>
      <c r="M30" s="9" t="s">
        <v>76</v>
      </c>
      <c r="N30" s="9" t="s">
        <v>72</v>
      </c>
      <c r="O30" s="17">
        <v>3.3770001E7</v>
      </c>
      <c r="P30" s="10">
        <v>3.3770001E7</v>
      </c>
      <c r="Q30" s="5"/>
      <c r="R30" s="5"/>
      <c r="S30" s="5"/>
      <c r="T30" s="5"/>
      <c r="U30" s="5"/>
      <c r="V30" s="5"/>
      <c r="W30" s="5"/>
      <c r="X30" s="5"/>
    </row>
    <row r="31" ht="15.75" customHeight="1">
      <c r="A31" s="6" t="s">
        <v>77</v>
      </c>
      <c r="B31" s="7">
        <v>-9.289870559</v>
      </c>
      <c r="C31" s="7">
        <v>-45.9019185</v>
      </c>
      <c r="D31" s="8">
        <v>157.0</v>
      </c>
      <c r="E31" s="8">
        <v>196.0</v>
      </c>
      <c r="F31" s="12">
        <v>280.0</v>
      </c>
      <c r="G31" s="9">
        <v>308.0</v>
      </c>
      <c r="H31" s="9">
        <v>361.0</v>
      </c>
      <c r="I31" s="9">
        <v>383.0</v>
      </c>
      <c r="J31" s="9">
        <v>421.0</v>
      </c>
      <c r="K31" s="9" t="s">
        <v>17</v>
      </c>
      <c r="L31" s="9" t="s">
        <v>78</v>
      </c>
      <c r="M31" s="9" t="s">
        <v>79</v>
      </c>
      <c r="N31" s="9" t="s">
        <v>80</v>
      </c>
      <c r="O31" s="10">
        <v>3.401E7</v>
      </c>
      <c r="P31" s="10">
        <v>3.401E7</v>
      </c>
      <c r="Q31" s="5"/>
      <c r="R31" s="5"/>
      <c r="S31" s="5"/>
      <c r="T31" s="5"/>
      <c r="U31" s="5"/>
      <c r="V31" s="5"/>
      <c r="W31" s="5"/>
      <c r="X31" s="5"/>
    </row>
    <row r="32" ht="15.75" customHeight="1">
      <c r="A32" s="6" t="s">
        <v>77</v>
      </c>
      <c r="B32" s="7">
        <v>-9.11319481</v>
      </c>
      <c r="C32" s="7">
        <v>-45.9262483</v>
      </c>
      <c r="D32" s="11"/>
      <c r="E32" s="11"/>
      <c r="F32" s="9"/>
      <c r="G32" s="9"/>
      <c r="H32" s="9"/>
      <c r="I32" s="9"/>
      <c r="J32" s="9"/>
      <c r="K32" s="9" t="s">
        <v>23</v>
      </c>
      <c r="L32" s="9" t="s">
        <v>81</v>
      </c>
      <c r="M32" s="9" t="s">
        <v>79</v>
      </c>
      <c r="N32" s="9" t="s">
        <v>80</v>
      </c>
      <c r="O32" s="10">
        <v>3.402098E7</v>
      </c>
      <c r="P32" s="10">
        <v>3.402098E7</v>
      </c>
      <c r="Q32" s="5"/>
      <c r="R32" s="5"/>
      <c r="S32" s="5"/>
      <c r="T32" s="5"/>
      <c r="U32" s="5"/>
      <c r="V32" s="5"/>
      <c r="W32" s="5"/>
      <c r="X32" s="5"/>
    </row>
    <row r="33" ht="15.75" customHeight="1">
      <c r="A33" s="6" t="s">
        <v>77</v>
      </c>
      <c r="B33" s="7">
        <v>-9.11356</v>
      </c>
      <c r="C33" s="7">
        <v>-45.93091</v>
      </c>
      <c r="D33" s="15">
        <v>293.0</v>
      </c>
      <c r="E33" s="15">
        <v>300.0</v>
      </c>
      <c r="F33" s="16">
        <v>318.0</v>
      </c>
      <c r="G33" s="9">
        <v>358.0</v>
      </c>
      <c r="H33" s="9">
        <v>427.0</v>
      </c>
      <c r="I33" s="9">
        <v>461.0</v>
      </c>
      <c r="J33" s="9">
        <v>507.0</v>
      </c>
      <c r="K33" s="9" t="s">
        <v>17</v>
      </c>
      <c r="L33" s="12" t="s">
        <v>77</v>
      </c>
      <c r="M33" s="9" t="s">
        <v>79</v>
      </c>
      <c r="N33" s="9" t="s">
        <v>80</v>
      </c>
      <c r="O33" s="10">
        <v>3.402E7</v>
      </c>
      <c r="P33" s="10">
        <v>3.402E7</v>
      </c>
      <c r="Q33" s="5"/>
      <c r="R33" s="5"/>
      <c r="S33" s="5"/>
      <c r="T33" s="5"/>
      <c r="U33" s="5"/>
      <c r="V33" s="5"/>
      <c r="W33" s="5"/>
      <c r="X33" s="5"/>
    </row>
    <row r="34" ht="15.75" customHeight="1">
      <c r="A34" s="6" t="s">
        <v>82</v>
      </c>
      <c r="B34" s="7">
        <v>-8.272304324</v>
      </c>
      <c r="C34" s="7">
        <v>-45.66518956</v>
      </c>
      <c r="D34" s="8">
        <v>71.0</v>
      </c>
      <c r="E34" s="8">
        <v>89.0</v>
      </c>
      <c r="F34" s="12">
        <v>127.0</v>
      </c>
      <c r="G34" s="9">
        <v>140.0</v>
      </c>
      <c r="H34" s="9">
        <v>260.0</v>
      </c>
      <c r="I34" s="9">
        <v>296.0</v>
      </c>
      <c r="J34" s="9">
        <v>326.0</v>
      </c>
      <c r="K34" s="9" t="s">
        <v>17</v>
      </c>
      <c r="L34" s="9" t="s">
        <v>83</v>
      </c>
      <c r="M34" s="9" t="s">
        <v>79</v>
      </c>
      <c r="N34" s="9" t="s">
        <v>80</v>
      </c>
      <c r="O34" s="10">
        <v>3.40405E7</v>
      </c>
      <c r="P34" s="10">
        <v>3.40405E7</v>
      </c>
      <c r="Q34" s="5"/>
      <c r="R34" s="5"/>
      <c r="S34" s="5"/>
      <c r="T34" s="5"/>
      <c r="U34" s="5"/>
      <c r="V34" s="5"/>
      <c r="W34" s="5"/>
      <c r="X34" s="5"/>
    </row>
    <row r="35" ht="15.75" customHeight="1">
      <c r="A35" s="6" t="s">
        <v>84</v>
      </c>
      <c r="B35" s="7">
        <v>-7.555729275</v>
      </c>
      <c r="C35" s="7">
        <v>-45.2436159</v>
      </c>
      <c r="D35" s="11"/>
      <c r="E35" s="11"/>
      <c r="F35" s="9"/>
      <c r="G35" s="9"/>
      <c r="H35" s="9"/>
      <c r="I35" s="9"/>
      <c r="J35" s="9"/>
      <c r="K35" s="9" t="s">
        <v>23</v>
      </c>
      <c r="L35" s="9" t="s">
        <v>85</v>
      </c>
      <c r="M35" s="9" t="s">
        <v>79</v>
      </c>
      <c r="N35" s="9" t="s">
        <v>80</v>
      </c>
      <c r="O35" s="10">
        <v>3.40599E7</v>
      </c>
      <c r="P35" s="10">
        <v>3.40599E7</v>
      </c>
      <c r="Q35" s="5"/>
      <c r="R35" s="5"/>
      <c r="S35" s="5"/>
      <c r="T35" s="5"/>
      <c r="U35" s="5"/>
      <c r="V35" s="5"/>
      <c r="W35" s="5"/>
      <c r="X35" s="5"/>
    </row>
    <row r="36" ht="15.75" customHeight="1">
      <c r="A36" s="6" t="s">
        <v>84</v>
      </c>
      <c r="B36" s="7">
        <v>-7.566704439</v>
      </c>
      <c r="C36" s="7">
        <v>-45.25451129</v>
      </c>
      <c r="D36" s="8">
        <v>154.0</v>
      </c>
      <c r="E36" s="8">
        <v>192.0</v>
      </c>
      <c r="F36" s="9">
        <v>274.0</v>
      </c>
      <c r="G36" s="9">
        <v>301.0</v>
      </c>
      <c r="H36" s="9">
        <v>385.0</v>
      </c>
      <c r="I36" s="9">
        <v>418.0</v>
      </c>
      <c r="J36" s="9">
        <v>460.0</v>
      </c>
      <c r="K36" s="9" t="s">
        <v>17</v>
      </c>
      <c r="L36" s="9" t="s">
        <v>86</v>
      </c>
      <c r="M36" s="9" t="s">
        <v>79</v>
      </c>
      <c r="N36" s="9" t="s">
        <v>80</v>
      </c>
      <c r="O36" s="10">
        <v>3.406E7</v>
      </c>
      <c r="P36" s="10">
        <v>3.406E7</v>
      </c>
      <c r="Q36" s="5"/>
      <c r="R36" s="5"/>
      <c r="S36" s="5"/>
      <c r="T36" s="5"/>
      <c r="U36" s="5"/>
      <c r="V36" s="5"/>
      <c r="W36" s="5"/>
      <c r="X36" s="5"/>
    </row>
    <row r="37" ht="15.75" customHeight="1">
      <c r="A37" s="6" t="s">
        <v>87</v>
      </c>
      <c r="B37" s="7">
        <v>-7.380942889</v>
      </c>
      <c r="C37" s="7">
        <v>-44.82702549</v>
      </c>
      <c r="D37" s="8">
        <v>114.0</v>
      </c>
      <c r="E37" s="8">
        <v>142.0</v>
      </c>
      <c r="F37" s="9">
        <v>203.0</v>
      </c>
      <c r="G37" s="9">
        <v>223.0</v>
      </c>
      <c r="H37" s="9">
        <v>319.0</v>
      </c>
      <c r="I37" s="9">
        <v>352.0</v>
      </c>
      <c r="J37" s="9">
        <v>387.0</v>
      </c>
      <c r="K37" s="9" t="s">
        <v>17</v>
      </c>
      <c r="L37" s="9" t="s">
        <v>88</v>
      </c>
      <c r="M37" s="9" t="s">
        <v>79</v>
      </c>
      <c r="N37" s="9" t="s">
        <v>80</v>
      </c>
      <c r="O37" s="10">
        <v>3.407E7</v>
      </c>
      <c r="P37" s="10">
        <v>3.407E7</v>
      </c>
      <c r="Q37" s="5"/>
      <c r="R37" s="5"/>
      <c r="S37" s="5"/>
      <c r="T37" s="5"/>
      <c r="U37" s="5"/>
      <c r="V37" s="5"/>
      <c r="W37" s="5"/>
      <c r="X37" s="5"/>
    </row>
    <row r="38" ht="15.75" customHeight="1">
      <c r="A38" s="6" t="s">
        <v>89</v>
      </c>
      <c r="B38" s="7">
        <v>-7.534</v>
      </c>
      <c r="C38" s="7">
        <v>-46.034</v>
      </c>
      <c r="D38" s="11"/>
      <c r="E38" s="11"/>
      <c r="F38" s="9"/>
      <c r="G38" s="9"/>
      <c r="H38" s="9"/>
      <c r="I38" s="9"/>
      <c r="J38" s="9"/>
      <c r="K38" s="9" t="s">
        <v>23</v>
      </c>
      <c r="L38" s="9" t="s">
        <v>90</v>
      </c>
      <c r="M38" s="9" t="s">
        <v>91</v>
      </c>
      <c r="N38" s="9" t="s">
        <v>80</v>
      </c>
      <c r="O38" s="10">
        <v>3.412998E7</v>
      </c>
      <c r="P38" s="10">
        <v>3.412998E7</v>
      </c>
      <c r="Q38" s="5"/>
      <c r="R38" s="5"/>
      <c r="S38" s="5"/>
      <c r="T38" s="5"/>
      <c r="U38" s="5"/>
      <c r="V38" s="5"/>
      <c r="W38" s="5"/>
      <c r="X38" s="5"/>
    </row>
    <row r="39" ht="15.75" customHeight="1">
      <c r="A39" s="6" t="s">
        <v>89</v>
      </c>
      <c r="B39" s="7">
        <v>-7.534414327</v>
      </c>
      <c r="C39" s="7">
        <v>-46.03461428</v>
      </c>
      <c r="D39" s="13">
        <v>236.0</v>
      </c>
      <c r="E39" s="13">
        <v>248.0</v>
      </c>
      <c r="F39" s="12">
        <v>255.0</v>
      </c>
      <c r="G39" s="9">
        <v>281.0</v>
      </c>
      <c r="H39" s="9">
        <v>368.0</v>
      </c>
      <c r="I39" s="9">
        <v>399.0</v>
      </c>
      <c r="J39" s="9">
        <v>439.0</v>
      </c>
      <c r="K39" s="9" t="s">
        <v>17</v>
      </c>
      <c r="L39" s="9" t="s">
        <v>89</v>
      </c>
      <c r="M39" s="9" t="s">
        <v>91</v>
      </c>
      <c r="N39" s="9" t="s">
        <v>80</v>
      </c>
      <c r="O39" s="10">
        <v>3.413E7</v>
      </c>
      <c r="P39" s="10">
        <v>3.413E7</v>
      </c>
      <c r="Q39" s="5"/>
      <c r="R39" s="5"/>
      <c r="S39" s="5"/>
      <c r="T39" s="5"/>
      <c r="U39" s="5"/>
      <c r="V39" s="5"/>
      <c r="W39" s="5"/>
      <c r="X39" s="5"/>
    </row>
    <row r="40" ht="15.75" customHeight="1">
      <c r="A40" s="6" t="s">
        <v>92</v>
      </c>
      <c r="B40" s="7">
        <v>-7.082</v>
      </c>
      <c r="C40" s="7">
        <v>-44.812</v>
      </c>
      <c r="D40" s="11"/>
      <c r="E40" s="11"/>
      <c r="F40" s="9"/>
      <c r="G40" s="9"/>
      <c r="H40" s="9"/>
      <c r="I40" s="9"/>
      <c r="J40" s="9"/>
      <c r="K40" s="9" t="s">
        <v>23</v>
      </c>
      <c r="L40" s="9" t="s">
        <v>93</v>
      </c>
      <c r="M40" s="9" t="s">
        <v>91</v>
      </c>
      <c r="N40" s="9" t="s">
        <v>80</v>
      </c>
      <c r="O40" s="10">
        <v>3.41609E7</v>
      </c>
      <c r="P40" s="10">
        <v>3.41609E7</v>
      </c>
      <c r="Q40" s="5"/>
      <c r="R40" s="5"/>
      <c r="S40" s="5"/>
      <c r="T40" s="5"/>
      <c r="U40" s="5"/>
      <c r="V40" s="5"/>
      <c r="W40" s="5"/>
      <c r="X40" s="5"/>
    </row>
    <row r="41" ht="15.75" customHeight="1">
      <c r="A41" s="6" t="s">
        <v>92</v>
      </c>
      <c r="B41" s="7">
        <v>-7.082</v>
      </c>
      <c r="C41" s="7">
        <v>-44.814</v>
      </c>
      <c r="D41" s="8">
        <v>62.0</v>
      </c>
      <c r="E41" s="8">
        <v>78.0</v>
      </c>
      <c r="F41" s="12">
        <v>112.0</v>
      </c>
      <c r="G41" s="9">
        <v>123.0</v>
      </c>
      <c r="H41" s="9">
        <v>311.0</v>
      </c>
      <c r="I41" s="9">
        <v>399.0</v>
      </c>
      <c r="J41" s="9">
        <v>439.0</v>
      </c>
      <c r="K41" s="9" t="s">
        <v>17</v>
      </c>
      <c r="L41" s="9" t="s">
        <v>94</v>
      </c>
      <c r="M41" s="9" t="s">
        <v>91</v>
      </c>
      <c r="N41" s="9" t="s">
        <v>80</v>
      </c>
      <c r="O41" s="10">
        <v>3.417E7</v>
      </c>
      <c r="P41" s="10">
        <v>3.417E7</v>
      </c>
      <c r="Q41" s="5"/>
      <c r="R41" s="5"/>
      <c r="S41" s="5"/>
      <c r="T41" s="5"/>
      <c r="U41" s="5"/>
      <c r="V41" s="5"/>
      <c r="W41" s="5"/>
      <c r="X41" s="5"/>
    </row>
    <row r="42" ht="15.75" customHeight="1">
      <c r="A42" s="6" t="s">
        <v>95</v>
      </c>
      <c r="B42" s="7">
        <v>-6.761</v>
      </c>
      <c r="C42" s="7">
        <v>-43.028</v>
      </c>
      <c r="D42" s="13">
        <v>178.0</v>
      </c>
      <c r="E42" s="13">
        <v>200.0</v>
      </c>
      <c r="F42" s="12">
        <v>238.0</v>
      </c>
      <c r="G42" s="9">
        <v>262.0</v>
      </c>
      <c r="H42" s="9">
        <v>550.0</v>
      </c>
      <c r="I42" s="9">
        <v>680.0</v>
      </c>
      <c r="J42" s="9">
        <v>898.0</v>
      </c>
      <c r="K42" s="9" t="s">
        <v>17</v>
      </c>
      <c r="L42" s="9" t="s">
        <v>95</v>
      </c>
      <c r="M42" s="9" t="s">
        <v>79</v>
      </c>
      <c r="N42" s="9" t="s">
        <v>80</v>
      </c>
      <c r="O42" s="10">
        <v>3.4311E7</v>
      </c>
      <c r="P42" s="10">
        <v>3.4311E7</v>
      </c>
      <c r="Q42" s="5"/>
      <c r="R42" s="5"/>
      <c r="S42" s="5"/>
      <c r="T42" s="5"/>
      <c r="U42" s="5"/>
      <c r="V42" s="5"/>
      <c r="W42" s="5"/>
      <c r="X42" s="5"/>
    </row>
    <row r="43" ht="15.75" customHeight="1">
      <c r="A43" s="6" t="s">
        <v>96</v>
      </c>
      <c r="B43" s="7">
        <v>-5.572</v>
      </c>
      <c r="C43" s="7">
        <v>-43.024</v>
      </c>
      <c r="D43" s="8">
        <v>78.0</v>
      </c>
      <c r="E43" s="8">
        <v>97.0</v>
      </c>
      <c r="F43" s="9">
        <v>138.0</v>
      </c>
      <c r="G43" s="9">
        <v>152.0</v>
      </c>
      <c r="H43" s="9">
        <v>340.0</v>
      </c>
      <c r="I43" s="9">
        <v>400.0</v>
      </c>
      <c r="J43" s="9">
        <v>440.0</v>
      </c>
      <c r="K43" s="9" t="s">
        <v>17</v>
      </c>
      <c r="L43" s="9" t="s">
        <v>97</v>
      </c>
      <c r="M43" s="9" t="s">
        <v>79</v>
      </c>
      <c r="N43" s="9" t="s">
        <v>80</v>
      </c>
      <c r="O43" s="10">
        <v>3.466E7</v>
      </c>
      <c r="P43" s="10">
        <v>3.466E7</v>
      </c>
      <c r="Q43" s="5"/>
      <c r="R43" s="5"/>
      <c r="S43" s="5"/>
      <c r="T43" s="5"/>
      <c r="U43" s="5"/>
      <c r="V43" s="5"/>
      <c r="W43" s="5"/>
      <c r="X43" s="5"/>
    </row>
    <row r="44" ht="15.75" customHeight="1">
      <c r="A44" s="6" t="s">
        <v>98</v>
      </c>
      <c r="B44" s="7">
        <v>-5.135</v>
      </c>
      <c r="C44" s="7">
        <v>-42.811</v>
      </c>
      <c r="D44" s="8">
        <v>110.0</v>
      </c>
      <c r="E44" s="8">
        <v>137.0</v>
      </c>
      <c r="F44" s="9">
        <v>195.0</v>
      </c>
      <c r="G44" s="9">
        <v>215.0</v>
      </c>
      <c r="H44" s="9">
        <v>500.0</v>
      </c>
      <c r="I44" s="9">
        <v>550.0</v>
      </c>
      <c r="J44" s="9">
        <v>687.0</v>
      </c>
      <c r="K44" s="9" t="s">
        <v>17</v>
      </c>
      <c r="L44" s="9" t="s">
        <v>99</v>
      </c>
      <c r="M44" s="9" t="s">
        <v>79</v>
      </c>
      <c r="N44" s="9" t="s">
        <v>80</v>
      </c>
      <c r="O44" s="10">
        <v>3.469E7</v>
      </c>
      <c r="P44" s="10">
        <v>3.469E7</v>
      </c>
      <c r="Q44" s="5"/>
      <c r="R44" s="5"/>
      <c r="S44" s="5"/>
      <c r="T44" s="5"/>
      <c r="U44" s="5"/>
      <c r="V44" s="5"/>
      <c r="W44" s="5"/>
      <c r="X44" s="5"/>
    </row>
    <row r="45" ht="15.75" customHeight="1">
      <c r="A45" s="6" t="s">
        <v>100</v>
      </c>
      <c r="B45" s="7">
        <v>-4.2881</v>
      </c>
      <c r="C45" s="7">
        <v>-42.9856</v>
      </c>
      <c r="D45" s="13">
        <v>226.0</v>
      </c>
      <c r="E45" s="13">
        <v>235.0</v>
      </c>
      <c r="F45" s="12">
        <v>326.0</v>
      </c>
      <c r="G45" s="9">
        <v>431.0</v>
      </c>
      <c r="H45" s="9">
        <v>650.0</v>
      </c>
      <c r="I45" s="9">
        <v>700.0</v>
      </c>
      <c r="J45" s="9">
        <v>800.0</v>
      </c>
      <c r="K45" s="9" t="s">
        <v>17</v>
      </c>
      <c r="L45" s="9" t="s">
        <v>100</v>
      </c>
      <c r="M45" s="9" t="s">
        <v>79</v>
      </c>
      <c r="N45" s="9" t="s">
        <v>80</v>
      </c>
      <c r="O45" s="10">
        <v>3.482E7</v>
      </c>
      <c r="P45" s="10">
        <v>3.482E7</v>
      </c>
      <c r="Q45" s="5"/>
      <c r="R45" s="5"/>
      <c r="S45" s="5"/>
      <c r="T45" s="5"/>
      <c r="U45" s="5"/>
      <c r="V45" s="5"/>
      <c r="W45" s="5"/>
      <c r="X45" s="5"/>
    </row>
    <row r="46" ht="15.75" customHeight="1">
      <c r="A46" s="6" t="s">
        <v>101</v>
      </c>
      <c r="B46" s="7">
        <v>-3.45445249</v>
      </c>
      <c r="C46" s="7">
        <v>-42.36983147</v>
      </c>
      <c r="D46" s="8">
        <v>80.0</v>
      </c>
      <c r="E46" s="8">
        <v>100.0</v>
      </c>
      <c r="F46" s="12">
        <v>143.0</v>
      </c>
      <c r="G46" s="9">
        <v>157.0</v>
      </c>
      <c r="H46" s="9">
        <v>400.0</v>
      </c>
      <c r="I46" s="9">
        <v>500.0</v>
      </c>
      <c r="J46" s="9">
        <v>570.0</v>
      </c>
      <c r="K46" s="9" t="s">
        <v>17</v>
      </c>
      <c r="L46" s="9" t="s">
        <v>102</v>
      </c>
      <c r="M46" s="9" t="s">
        <v>79</v>
      </c>
      <c r="N46" s="9" t="s">
        <v>80</v>
      </c>
      <c r="O46" s="10">
        <v>3.48795E7</v>
      </c>
      <c r="P46" s="10">
        <v>3.48795E7</v>
      </c>
      <c r="Q46" s="5"/>
      <c r="R46" s="5"/>
      <c r="S46" s="5"/>
      <c r="T46" s="5"/>
      <c r="U46" s="5"/>
      <c r="V46" s="5"/>
      <c r="W46" s="5"/>
      <c r="X46" s="5"/>
    </row>
    <row r="47" ht="15.75" customHeight="1">
      <c r="A47" s="20" t="s">
        <v>103</v>
      </c>
      <c r="B47" s="21">
        <v>-2.549443</v>
      </c>
      <c r="C47" s="21">
        <v>-44.306066</v>
      </c>
      <c r="D47" s="11"/>
      <c r="E47" s="11"/>
      <c r="F47" s="11"/>
      <c r="G47" s="11"/>
      <c r="H47" s="11"/>
      <c r="I47" s="11"/>
      <c r="J47" s="11"/>
      <c r="K47" s="13" t="s">
        <v>104</v>
      </c>
      <c r="L47" s="13" t="s">
        <v>105</v>
      </c>
      <c r="M47" s="5"/>
      <c r="N47" s="5"/>
      <c r="O47" s="10">
        <v>3.48795E7</v>
      </c>
      <c r="P47" s="10"/>
      <c r="Q47" s="5"/>
      <c r="R47" s="5"/>
      <c r="S47" s="5"/>
      <c r="T47" s="5"/>
      <c r="U47" s="5"/>
      <c r="V47" s="5"/>
      <c r="W47" s="5"/>
      <c r="X47" s="5"/>
    </row>
    <row r="48">
      <c r="A48" s="20" t="s">
        <v>103</v>
      </c>
      <c r="B48" s="21">
        <v>-2.539121</v>
      </c>
      <c r="C48" s="21">
        <v>-44.282889</v>
      </c>
      <c r="D48" s="22"/>
      <c r="E48" s="22"/>
      <c r="F48" s="22"/>
      <c r="G48" s="22"/>
      <c r="H48" s="22"/>
      <c r="I48" s="22"/>
      <c r="J48" s="22"/>
      <c r="K48" s="13" t="s">
        <v>104</v>
      </c>
      <c r="L48" s="13" t="s">
        <v>103</v>
      </c>
      <c r="M48" s="23"/>
      <c r="N48" s="23"/>
      <c r="O48" s="10">
        <v>3.48795E7</v>
      </c>
      <c r="P48" s="10"/>
      <c r="Q48" s="23"/>
      <c r="R48" s="23"/>
      <c r="S48" s="23"/>
      <c r="T48" s="23"/>
      <c r="U48" s="23"/>
      <c r="V48" s="23"/>
      <c r="W48" s="23"/>
      <c r="X48" s="23"/>
    </row>
    <row r="49" ht="15.75" customHeight="1">
      <c r="A49" s="20" t="s">
        <v>106</v>
      </c>
      <c r="B49" s="21">
        <v>-2.403855</v>
      </c>
      <c r="C49" s="21">
        <v>-44.415435</v>
      </c>
      <c r="D49" s="11"/>
      <c r="E49" s="11"/>
      <c r="F49" s="11"/>
      <c r="G49" s="11"/>
      <c r="H49" s="11"/>
      <c r="I49" s="11"/>
      <c r="J49" s="11"/>
      <c r="K49" s="13" t="s">
        <v>104</v>
      </c>
      <c r="L49" s="13" t="s">
        <v>106</v>
      </c>
      <c r="M49" s="5"/>
      <c r="N49" s="5"/>
      <c r="O49" s="10">
        <v>3.48795E7</v>
      </c>
      <c r="P49" s="10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20" t="s">
        <v>107</v>
      </c>
      <c r="B50" s="21">
        <v>-1.945785</v>
      </c>
      <c r="C50" s="21">
        <v>-44.56083</v>
      </c>
      <c r="D50" s="11"/>
      <c r="E50" s="11"/>
      <c r="F50" s="11"/>
      <c r="G50" s="11"/>
      <c r="H50" s="11"/>
      <c r="I50" s="11"/>
      <c r="J50" s="11"/>
      <c r="K50" s="13" t="s">
        <v>104</v>
      </c>
      <c r="L50" s="13" t="s">
        <v>107</v>
      </c>
      <c r="M50" s="5"/>
      <c r="N50" s="5"/>
      <c r="O50" s="10">
        <v>3.48795E7</v>
      </c>
      <c r="P50" s="10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20" t="s">
        <v>108</v>
      </c>
      <c r="B51" s="21">
        <v>-3.270463</v>
      </c>
      <c r="C51" s="21">
        <v>-45.655768</v>
      </c>
      <c r="D51" s="11"/>
      <c r="E51" s="11"/>
      <c r="F51" s="11"/>
      <c r="G51" s="11"/>
      <c r="H51" s="11"/>
      <c r="I51" s="11"/>
      <c r="J51" s="11"/>
      <c r="K51" s="13" t="s">
        <v>104</v>
      </c>
      <c r="L51" s="13" t="s">
        <v>108</v>
      </c>
      <c r="M51" s="5"/>
      <c r="N51" s="5"/>
      <c r="O51" s="10">
        <v>3.48795E7</v>
      </c>
      <c r="P51" s="10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20" t="s">
        <v>109</v>
      </c>
      <c r="B52" s="21">
        <v>-3.664443</v>
      </c>
      <c r="C52" s="21">
        <v>-45.383981</v>
      </c>
      <c r="D52" s="11"/>
      <c r="E52" s="11"/>
      <c r="F52" s="11"/>
      <c r="G52" s="11"/>
      <c r="H52" s="11"/>
      <c r="I52" s="11"/>
      <c r="J52" s="11"/>
      <c r="K52" s="13" t="s">
        <v>104</v>
      </c>
      <c r="L52" s="13" t="s">
        <v>109</v>
      </c>
      <c r="M52" s="5"/>
      <c r="N52" s="5"/>
      <c r="O52" s="10">
        <v>3.48795E7</v>
      </c>
      <c r="P52" s="10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20" t="s">
        <v>110</v>
      </c>
      <c r="B53" s="21">
        <v>-4.953837</v>
      </c>
      <c r="C53" s="21">
        <v>-47.503117</v>
      </c>
      <c r="D53" s="11"/>
      <c r="E53" s="11"/>
      <c r="F53" s="11"/>
      <c r="G53" s="11"/>
      <c r="H53" s="11"/>
      <c r="I53" s="11"/>
      <c r="J53" s="11"/>
      <c r="K53" s="13" t="s">
        <v>104</v>
      </c>
      <c r="L53" s="13" t="s">
        <v>110</v>
      </c>
      <c r="M53" s="5"/>
      <c r="N53" s="5"/>
      <c r="O53" s="10">
        <v>3.48795E7</v>
      </c>
      <c r="P53" s="10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20" t="s">
        <v>111</v>
      </c>
      <c r="B54" s="21">
        <v>-6.12064</v>
      </c>
      <c r="C54" s="21">
        <v>-46.593329</v>
      </c>
      <c r="D54" s="11"/>
      <c r="E54" s="11"/>
      <c r="F54" s="11"/>
      <c r="G54" s="11"/>
      <c r="H54" s="11"/>
      <c r="I54" s="11"/>
      <c r="J54" s="11"/>
      <c r="K54" s="13" t="s">
        <v>104</v>
      </c>
      <c r="L54" s="13" t="s">
        <v>111</v>
      </c>
      <c r="M54" s="5"/>
      <c r="N54" s="5"/>
      <c r="O54" s="10">
        <v>3.48795E7</v>
      </c>
      <c r="P54" s="10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20" t="s">
        <v>89</v>
      </c>
      <c r="B55" s="21">
        <v>-7.533035</v>
      </c>
      <c r="C55" s="21">
        <v>-46.035952</v>
      </c>
      <c r="D55" s="11"/>
      <c r="E55" s="11"/>
      <c r="F55" s="11"/>
      <c r="G55" s="11"/>
      <c r="H55" s="11"/>
      <c r="I55" s="11"/>
      <c r="J55" s="11"/>
      <c r="K55" s="13" t="s">
        <v>104</v>
      </c>
      <c r="L55" s="13" t="s">
        <v>89</v>
      </c>
      <c r="M55" s="5"/>
      <c r="N55" s="5"/>
      <c r="O55" s="10">
        <v>3.48795E7</v>
      </c>
      <c r="P55" s="10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20" t="s">
        <v>112</v>
      </c>
      <c r="B56" s="21">
        <v>-7.081417</v>
      </c>
      <c r="C56" s="21">
        <v>-45.145585</v>
      </c>
      <c r="D56" s="11"/>
      <c r="E56" s="11"/>
      <c r="F56" s="11"/>
      <c r="G56" s="11"/>
      <c r="H56" s="11"/>
      <c r="I56" s="11"/>
      <c r="J56" s="11"/>
      <c r="K56" s="13" t="s">
        <v>104</v>
      </c>
      <c r="L56" s="13" t="s">
        <v>112</v>
      </c>
      <c r="M56" s="5"/>
      <c r="N56" s="5"/>
      <c r="O56" s="10">
        <v>3.48795E7</v>
      </c>
      <c r="P56" s="10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20" t="s">
        <v>66</v>
      </c>
      <c r="B57" s="21">
        <v>-4.128343</v>
      </c>
      <c r="C57" s="21">
        <v>-44.130314</v>
      </c>
      <c r="D57" s="11"/>
      <c r="E57" s="11"/>
      <c r="F57" s="11"/>
      <c r="G57" s="11"/>
      <c r="H57" s="11"/>
      <c r="I57" s="11"/>
      <c r="J57" s="11"/>
      <c r="K57" s="13" t="s">
        <v>104</v>
      </c>
      <c r="L57" s="13" t="s">
        <v>66</v>
      </c>
      <c r="M57" s="5"/>
      <c r="N57" s="5"/>
      <c r="O57" s="10">
        <v>3.48795E7</v>
      </c>
      <c r="P57" s="10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20" t="s">
        <v>113</v>
      </c>
      <c r="B58" s="21">
        <v>-3.206792</v>
      </c>
      <c r="C58" s="21">
        <v>-43.388246</v>
      </c>
      <c r="D58" s="11"/>
      <c r="E58" s="11"/>
      <c r="F58" s="11"/>
      <c r="G58" s="11"/>
      <c r="H58" s="11"/>
      <c r="I58" s="11"/>
      <c r="J58" s="11"/>
      <c r="K58" s="13" t="s">
        <v>104</v>
      </c>
      <c r="L58" s="13" t="s">
        <v>113</v>
      </c>
      <c r="M58" s="5"/>
      <c r="N58" s="5"/>
      <c r="O58" s="10">
        <v>3.48795E7</v>
      </c>
      <c r="P58" s="10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20" t="s">
        <v>114</v>
      </c>
      <c r="B59" s="21">
        <v>-2.758989</v>
      </c>
      <c r="C59" s="21">
        <v>-42.823613</v>
      </c>
      <c r="D59" s="11"/>
      <c r="E59" s="11"/>
      <c r="F59" s="11"/>
      <c r="G59" s="11"/>
      <c r="H59" s="11"/>
      <c r="I59" s="11"/>
      <c r="J59" s="11"/>
      <c r="K59" s="13" t="s">
        <v>104</v>
      </c>
      <c r="L59" s="13" t="s">
        <v>114</v>
      </c>
      <c r="M59" s="5"/>
      <c r="N59" s="5"/>
      <c r="O59" s="10">
        <v>3.48795E7</v>
      </c>
      <c r="P59" s="10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20" t="s">
        <v>50</v>
      </c>
      <c r="B60" s="21">
        <v>-4.586222</v>
      </c>
      <c r="C60" s="21">
        <v>-44.584885</v>
      </c>
      <c r="D60" s="11"/>
      <c r="E60" s="11"/>
      <c r="F60" s="11"/>
      <c r="G60" s="11"/>
      <c r="H60" s="11"/>
      <c r="I60" s="11"/>
      <c r="J60" s="11"/>
      <c r="K60" s="13" t="s">
        <v>104</v>
      </c>
      <c r="L60" s="13" t="s">
        <v>50</v>
      </c>
      <c r="M60" s="5"/>
      <c r="N60" s="5"/>
      <c r="O60" s="10">
        <v>3.48795E7</v>
      </c>
      <c r="P60" s="10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20" t="s">
        <v>115</v>
      </c>
      <c r="B61" s="13">
        <v>-2.444246</v>
      </c>
      <c r="C61" s="13">
        <v>-46.031822</v>
      </c>
      <c r="D61" s="11"/>
      <c r="E61" s="11"/>
      <c r="F61" s="11"/>
      <c r="G61" s="11"/>
      <c r="H61" s="11"/>
      <c r="I61" s="11"/>
      <c r="J61" s="11"/>
      <c r="K61" s="13" t="s">
        <v>116</v>
      </c>
      <c r="L61" s="13" t="s">
        <v>115</v>
      </c>
      <c r="M61" s="13" t="s">
        <v>117</v>
      </c>
      <c r="N61" s="11"/>
      <c r="O61" s="13">
        <v>3.48795E7</v>
      </c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20" t="s">
        <v>117</v>
      </c>
      <c r="B62" s="13">
        <v>-2.054567</v>
      </c>
      <c r="C62" s="13">
        <v>-45.955592</v>
      </c>
      <c r="D62" s="11"/>
      <c r="E62" s="11"/>
      <c r="F62" s="11"/>
      <c r="G62" s="11"/>
      <c r="H62" s="11"/>
      <c r="I62" s="11"/>
      <c r="J62" s="11"/>
      <c r="K62" s="13" t="s">
        <v>116</v>
      </c>
      <c r="L62" s="13" t="s">
        <v>117</v>
      </c>
      <c r="M62" s="13" t="s">
        <v>117</v>
      </c>
      <c r="N62" s="11"/>
      <c r="O62" s="13">
        <v>3.48795E7</v>
      </c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20" t="s">
        <v>118</v>
      </c>
      <c r="B63" s="13">
        <v>-5.120902</v>
      </c>
      <c r="C63" s="13">
        <v>-45.794104</v>
      </c>
      <c r="D63" s="11"/>
      <c r="E63" s="11"/>
      <c r="F63" s="11"/>
      <c r="G63" s="11"/>
      <c r="H63" s="11"/>
      <c r="I63" s="11"/>
      <c r="J63" s="11"/>
      <c r="K63" s="13" t="s">
        <v>116</v>
      </c>
      <c r="L63" s="13" t="s">
        <v>118</v>
      </c>
      <c r="M63" s="13" t="s">
        <v>54</v>
      </c>
      <c r="N63" s="11"/>
      <c r="O63" s="13">
        <v>3.48795E7</v>
      </c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20" t="s">
        <v>119</v>
      </c>
      <c r="B64" s="13">
        <v>-4.241637</v>
      </c>
      <c r="C64" s="13">
        <v>-45.360547</v>
      </c>
      <c r="D64" s="11"/>
      <c r="E64" s="11"/>
      <c r="F64" s="11"/>
      <c r="G64" s="11"/>
      <c r="H64" s="11"/>
      <c r="I64" s="11"/>
      <c r="J64" s="11"/>
      <c r="K64" s="13" t="s">
        <v>116</v>
      </c>
      <c r="L64" s="13" t="s">
        <v>119</v>
      </c>
      <c r="M64" s="13" t="s">
        <v>54</v>
      </c>
      <c r="N64" s="11"/>
      <c r="O64" s="13">
        <v>3.48795E7</v>
      </c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20" t="s">
        <v>120</v>
      </c>
      <c r="B65" s="13">
        <v>-4.60892</v>
      </c>
      <c r="C65" s="13">
        <v>-46.935812</v>
      </c>
      <c r="D65" s="11"/>
      <c r="E65" s="11"/>
      <c r="F65" s="11"/>
      <c r="G65" s="11"/>
      <c r="H65" s="11"/>
      <c r="I65" s="11"/>
      <c r="J65" s="11"/>
      <c r="K65" s="13" t="s">
        <v>116</v>
      </c>
      <c r="L65" s="13" t="s">
        <v>120</v>
      </c>
      <c r="M65" s="13" t="s">
        <v>121</v>
      </c>
      <c r="N65" s="11"/>
      <c r="O65" s="13">
        <v>3.48795E7</v>
      </c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20" t="s">
        <v>122</v>
      </c>
      <c r="B66" s="13">
        <v>-4.355508</v>
      </c>
      <c r="C66" s="13">
        <v>-46.699155</v>
      </c>
      <c r="D66" s="11"/>
      <c r="E66" s="11"/>
      <c r="F66" s="11"/>
      <c r="G66" s="11"/>
      <c r="H66" s="11"/>
      <c r="I66" s="11"/>
      <c r="J66" s="11"/>
      <c r="K66" s="13" t="s">
        <v>116</v>
      </c>
      <c r="L66" s="13" t="s">
        <v>122</v>
      </c>
      <c r="M66" s="13" t="s">
        <v>121</v>
      </c>
      <c r="N66" s="11"/>
      <c r="O66" s="13">
        <v>3.48795E7</v>
      </c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20" t="s">
        <v>123</v>
      </c>
      <c r="B67" s="13">
        <v>-3.699012</v>
      </c>
      <c r="C67" s="13">
        <v>-45.961621</v>
      </c>
      <c r="D67" s="11"/>
      <c r="E67" s="11"/>
      <c r="F67" s="11"/>
      <c r="G67" s="11"/>
      <c r="H67" s="11"/>
      <c r="I67" s="11"/>
      <c r="J67" s="11"/>
      <c r="K67" s="13" t="s">
        <v>116</v>
      </c>
      <c r="L67" s="13" t="s">
        <v>123</v>
      </c>
      <c r="M67" s="13" t="s">
        <v>121</v>
      </c>
      <c r="N67" s="11"/>
      <c r="O67" s="13">
        <v>3.48795E7</v>
      </c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20" t="s">
        <v>124</v>
      </c>
      <c r="B68" s="13">
        <v>-5.75181</v>
      </c>
      <c r="C68" s="13">
        <v>-45.593874</v>
      </c>
      <c r="D68" s="11"/>
      <c r="E68" s="11"/>
      <c r="F68" s="11"/>
      <c r="G68" s="11"/>
      <c r="H68" s="11"/>
      <c r="I68" s="11"/>
      <c r="J68" s="11"/>
      <c r="K68" s="13" t="s">
        <v>116</v>
      </c>
      <c r="L68" s="13" t="s">
        <v>124</v>
      </c>
      <c r="M68" s="13" t="s">
        <v>44</v>
      </c>
      <c r="N68" s="11"/>
      <c r="O68" s="13">
        <v>3.48795E7</v>
      </c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20" t="s">
        <v>125</v>
      </c>
      <c r="B69" s="13">
        <v>-2.902967</v>
      </c>
      <c r="C69" s="13">
        <v>-43.561877</v>
      </c>
      <c r="D69" s="11"/>
      <c r="E69" s="11"/>
      <c r="F69" s="11"/>
      <c r="G69" s="11"/>
      <c r="H69" s="11"/>
      <c r="I69" s="11"/>
      <c r="J69" s="11"/>
      <c r="K69" s="13" t="s">
        <v>116</v>
      </c>
      <c r="L69" s="13" t="s">
        <v>125</v>
      </c>
      <c r="M69" s="13" t="s">
        <v>126</v>
      </c>
      <c r="N69" s="11"/>
      <c r="O69" s="13">
        <v>3.48795E7</v>
      </c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20" t="s">
        <v>125</v>
      </c>
      <c r="B70" s="13">
        <v>-2.724211</v>
      </c>
      <c r="C70" s="13">
        <v>-43.496884</v>
      </c>
      <c r="D70" s="11"/>
      <c r="E70" s="11"/>
      <c r="F70" s="11"/>
      <c r="G70" s="11"/>
      <c r="H70" s="11"/>
      <c r="I70" s="11"/>
      <c r="J70" s="11"/>
      <c r="K70" s="13" t="s">
        <v>116</v>
      </c>
      <c r="L70" s="13" t="s">
        <v>125</v>
      </c>
      <c r="M70" s="13" t="s">
        <v>126</v>
      </c>
      <c r="N70" s="11"/>
      <c r="O70" s="13">
        <v>3.48795E7</v>
      </c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20" t="s">
        <v>127</v>
      </c>
      <c r="B71" s="13">
        <v>-2.527746</v>
      </c>
      <c r="C71" s="13">
        <v>-45.06923</v>
      </c>
      <c r="D71" s="11"/>
      <c r="E71" s="11"/>
      <c r="F71" s="11"/>
      <c r="G71" s="11"/>
      <c r="H71" s="11"/>
      <c r="I71" s="11"/>
      <c r="J71" s="11"/>
      <c r="K71" s="13" t="s">
        <v>116</v>
      </c>
      <c r="L71" s="13" t="s">
        <v>127</v>
      </c>
      <c r="M71" s="13" t="s">
        <v>128</v>
      </c>
      <c r="N71" s="11"/>
      <c r="O71" s="13">
        <v>3.48795E7</v>
      </c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20" t="s">
        <v>114</v>
      </c>
      <c r="B72" s="13">
        <v>-3.024713</v>
      </c>
      <c r="C72" s="13">
        <v>-43.004248</v>
      </c>
      <c r="D72" s="11"/>
      <c r="E72" s="11"/>
      <c r="F72" s="11"/>
      <c r="G72" s="11"/>
      <c r="H72" s="11"/>
      <c r="I72" s="11"/>
      <c r="J72" s="11"/>
      <c r="K72" s="13" t="s">
        <v>116</v>
      </c>
      <c r="L72" s="13" t="s">
        <v>114</v>
      </c>
      <c r="M72" s="13" t="s">
        <v>129</v>
      </c>
      <c r="N72" s="11"/>
      <c r="O72" s="13">
        <v>3.48795E7</v>
      </c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20" t="s">
        <v>130</v>
      </c>
      <c r="B73" s="13">
        <v>-2.943456</v>
      </c>
      <c r="C73" s="13">
        <v>-45.667531</v>
      </c>
      <c r="D73" s="11"/>
      <c r="E73" s="11"/>
      <c r="F73" s="11"/>
      <c r="G73" s="11"/>
      <c r="H73" s="11"/>
      <c r="I73" s="11"/>
      <c r="J73" s="11"/>
      <c r="K73" s="13" t="s">
        <v>116</v>
      </c>
      <c r="L73" s="13" t="s">
        <v>130</v>
      </c>
      <c r="M73" s="13" t="s">
        <v>131</v>
      </c>
      <c r="N73" s="11"/>
      <c r="O73" s="13">
        <v>3.48795E7</v>
      </c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20" t="s">
        <v>132</v>
      </c>
      <c r="B74" s="13">
        <v>-2.229003</v>
      </c>
      <c r="C74" s="13">
        <v>-45.304069</v>
      </c>
      <c r="D74" s="11"/>
      <c r="E74" s="11"/>
      <c r="F74" s="11"/>
      <c r="G74" s="11"/>
      <c r="H74" s="11"/>
      <c r="I74" s="11"/>
      <c r="J74" s="11"/>
      <c r="K74" s="13" t="s">
        <v>116</v>
      </c>
      <c r="L74" s="13" t="s">
        <v>132</v>
      </c>
      <c r="M74" s="13" t="s">
        <v>131</v>
      </c>
      <c r="N74" s="11"/>
      <c r="O74" s="13">
        <v>3.48795E7</v>
      </c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2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2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2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2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2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2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2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2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2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2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2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2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2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2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2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2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2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2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2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2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2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2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2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2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2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2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2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2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2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2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2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2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2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2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2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2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2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2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2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2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2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2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2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2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2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2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2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2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2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2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2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2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2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2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2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2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2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2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2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2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2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2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2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2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2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2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2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2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2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2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2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2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2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2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2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2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2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2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2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2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2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2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2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2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2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2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2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2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2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2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2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2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2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2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2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2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2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2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2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2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2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2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2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2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2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2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2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2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2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2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2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2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2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2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2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2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2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2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2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2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2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2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2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2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2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2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2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2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2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2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2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2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2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2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2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2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2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2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2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2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2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2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2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2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2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2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2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2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2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2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2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2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2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2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2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2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2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2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2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2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2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2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2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2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2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2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2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2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2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2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2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2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25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 ht="15.75" customHeight="1">
      <c r="A248" s="25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</row>
    <row r="249" ht="15.75" customHeight="1">
      <c r="A249" s="25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</row>
    <row r="250" ht="15.75" customHeight="1">
      <c r="A250" s="25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 ht="15.75" customHeight="1">
      <c r="A251" s="25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</row>
    <row r="252" ht="15.75" customHeight="1">
      <c r="A252" s="25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</row>
    <row r="253" ht="15.75" customHeight="1">
      <c r="A253" s="25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</row>
    <row r="254" ht="15.75" customHeight="1">
      <c r="A254" s="25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</row>
    <row r="255" ht="15.75" customHeight="1">
      <c r="A255" s="25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</row>
    <row r="256" ht="15.75" customHeight="1">
      <c r="A256" s="25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</row>
    <row r="257" ht="15.75" customHeight="1">
      <c r="A257" s="25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</row>
    <row r="258" ht="15.75" customHeight="1">
      <c r="A258" s="25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</row>
    <row r="259" ht="15.75" customHeight="1">
      <c r="A259" s="25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</row>
    <row r="260" ht="15.75" customHeight="1">
      <c r="A260" s="25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</row>
    <row r="261" ht="15.75" customHeight="1">
      <c r="A261" s="25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</row>
    <row r="262" ht="15.75" customHeight="1">
      <c r="A262" s="25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</row>
    <row r="263" ht="15.75" customHeight="1">
      <c r="A263" s="25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</row>
    <row r="264" ht="15.75" customHeight="1">
      <c r="A264" s="25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</row>
    <row r="265" ht="15.75" customHeight="1">
      <c r="A265" s="25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</row>
    <row r="266" ht="15.75" customHeight="1">
      <c r="A266" s="25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 ht="15.75" customHeight="1">
      <c r="A267" s="25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</row>
    <row r="268" ht="15.75" customHeight="1">
      <c r="A268" s="25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</row>
    <row r="269" ht="15.75" customHeight="1">
      <c r="A269" s="25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</row>
    <row r="270" ht="15.75" customHeight="1">
      <c r="A270" s="25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</row>
    <row r="271" ht="15.75" customHeight="1">
      <c r="A271" s="25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</row>
    <row r="272" ht="15.75" customHeight="1">
      <c r="A272" s="25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</row>
    <row r="273" ht="15.75" customHeight="1">
      <c r="A273" s="25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</row>
    <row r="274" ht="15.75" customHeight="1">
      <c r="A274" s="25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</row>
    <row r="275" ht="15.75" customHeight="1">
      <c r="A275" s="25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</row>
    <row r="276" ht="15.75" customHeight="1">
      <c r="A276" s="25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</row>
    <row r="277" ht="15.75" customHeight="1">
      <c r="A277" s="25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</row>
    <row r="278" ht="15.75" customHeight="1">
      <c r="A278" s="25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</row>
    <row r="279" ht="15.75" customHeight="1">
      <c r="A279" s="25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</row>
    <row r="280" ht="15.75" customHeight="1">
      <c r="A280" s="25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</row>
    <row r="281" ht="15.75" customHeight="1">
      <c r="A281" s="25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</row>
    <row r="282" ht="15.75" customHeight="1">
      <c r="A282" s="25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</row>
    <row r="283" ht="15.75" customHeight="1">
      <c r="A283" s="25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</row>
    <row r="284" ht="15.75" customHeight="1">
      <c r="A284" s="25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</row>
    <row r="285" ht="15.75" customHeight="1">
      <c r="A285" s="25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</row>
    <row r="286" ht="15.75" customHeight="1">
      <c r="A286" s="25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</row>
    <row r="287" ht="15.75" customHeight="1">
      <c r="A287" s="25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</row>
    <row r="288" ht="15.75" customHeight="1">
      <c r="A288" s="25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</row>
    <row r="289" ht="15.75" customHeight="1">
      <c r="A289" s="25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</row>
    <row r="290" ht="15.75" customHeight="1">
      <c r="A290" s="25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</row>
    <row r="291" ht="15.75" customHeight="1">
      <c r="A291" s="25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</row>
    <row r="292" ht="15.75" customHeight="1">
      <c r="A292" s="25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</row>
    <row r="293" ht="15.75" customHeight="1">
      <c r="A293" s="25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</row>
    <row r="294" ht="15.75" customHeight="1">
      <c r="A294" s="25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</row>
    <row r="295" ht="15.75" customHeight="1">
      <c r="A295" s="25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</row>
    <row r="296" ht="15.75" customHeight="1">
      <c r="A296" s="25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</row>
    <row r="297" ht="15.75" customHeight="1">
      <c r="A297" s="25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</row>
    <row r="298" ht="15.75" customHeight="1">
      <c r="A298" s="25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</row>
    <row r="299" ht="15.75" customHeight="1">
      <c r="A299" s="25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</row>
    <row r="300" ht="15.75" customHeight="1">
      <c r="A300" s="25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</row>
    <row r="301" ht="15.75" customHeight="1">
      <c r="A301" s="25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</row>
    <row r="302" ht="15.75" customHeight="1">
      <c r="A302" s="25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</row>
    <row r="303" ht="15.75" customHeight="1">
      <c r="A303" s="25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</row>
    <row r="304" ht="15.75" customHeight="1">
      <c r="A304" s="25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</row>
    <row r="305" ht="15.75" customHeight="1">
      <c r="A305" s="25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</row>
    <row r="306" ht="15.75" customHeight="1">
      <c r="A306" s="25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</row>
    <row r="307" ht="15.75" customHeight="1">
      <c r="A307" s="25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</row>
    <row r="308" ht="15.75" customHeight="1">
      <c r="A308" s="25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</row>
    <row r="309" ht="15.75" customHeight="1">
      <c r="A309" s="25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</row>
    <row r="310" ht="15.75" customHeight="1">
      <c r="A310" s="25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</row>
    <row r="311" ht="15.75" customHeight="1">
      <c r="A311" s="25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</row>
    <row r="312" ht="15.75" customHeight="1">
      <c r="A312" s="25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</row>
    <row r="313" ht="15.75" customHeight="1">
      <c r="A313" s="25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</row>
    <row r="314" ht="15.75" customHeight="1">
      <c r="A314" s="25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</row>
    <row r="315" ht="15.75" customHeight="1">
      <c r="A315" s="25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</row>
    <row r="316" ht="15.75" customHeight="1">
      <c r="A316" s="25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</row>
    <row r="317" ht="15.75" customHeight="1">
      <c r="A317" s="25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</row>
    <row r="318" ht="15.75" customHeight="1">
      <c r="A318" s="25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</row>
    <row r="319" ht="15.75" customHeight="1">
      <c r="A319" s="25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</row>
    <row r="320" ht="15.75" customHeight="1">
      <c r="A320" s="25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</row>
    <row r="321" ht="15.75" customHeight="1">
      <c r="A321" s="25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</row>
    <row r="322" ht="15.75" customHeight="1">
      <c r="A322" s="25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</row>
    <row r="323" ht="15.75" customHeight="1">
      <c r="A323" s="25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</row>
    <row r="324" ht="15.75" customHeight="1">
      <c r="A324" s="25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</row>
    <row r="325" ht="15.75" customHeight="1">
      <c r="A325" s="25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</row>
    <row r="326" ht="15.75" customHeight="1">
      <c r="A326" s="25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</row>
    <row r="327" ht="15.75" customHeight="1">
      <c r="A327" s="25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</row>
    <row r="328" ht="15.75" customHeight="1">
      <c r="A328" s="25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</row>
    <row r="329" ht="15.75" customHeight="1">
      <c r="A329" s="25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</row>
    <row r="330" ht="15.75" customHeight="1">
      <c r="A330" s="25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</row>
    <row r="331" ht="15.75" customHeight="1">
      <c r="A331" s="25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</row>
    <row r="332" ht="15.75" customHeight="1">
      <c r="A332" s="25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</row>
    <row r="333" ht="15.75" customHeight="1">
      <c r="A333" s="25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</row>
    <row r="334" ht="15.75" customHeight="1">
      <c r="A334" s="25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</row>
    <row r="335" ht="15.75" customHeight="1">
      <c r="A335" s="25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</row>
    <row r="336" ht="15.75" customHeight="1">
      <c r="A336" s="25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</row>
    <row r="337" ht="15.75" customHeight="1">
      <c r="A337" s="25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</row>
    <row r="338" ht="15.75" customHeight="1">
      <c r="A338" s="25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</row>
    <row r="339" ht="15.75" customHeight="1">
      <c r="A339" s="25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</row>
    <row r="340" ht="15.75" customHeight="1">
      <c r="A340" s="25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</row>
    <row r="341" ht="15.75" customHeight="1">
      <c r="A341" s="25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</row>
    <row r="342" ht="15.75" customHeight="1">
      <c r="A342" s="25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</row>
    <row r="343" ht="15.75" customHeight="1">
      <c r="A343" s="25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</row>
    <row r="344" ht="15.75" customHeight="1">
      <c r="A344" s="25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</row>
    <row r="345" ht="15.75" customHeight="1">
      <c r="A345" s="25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</row>
    <row r="346" ht="15.75" customHeight="1">
      <c r="A346" s="25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</row>
    <row r="347" ht="15.75" customHeight="1">
      <c r="A347" s="25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</row>
    <row r="348" ht="15.75" customHeight="1">
      <c r="A348" s="25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 ht="15.75" customHeight="1">
      <c r="A349" s="25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</row>
    <row r="350" ht="15.75" customHeight="1">
      <c r="A350" s="25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</row>
    <row r="351" ht="15.75" customHeight="1">
      <c r="A351" s="25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</row>
    <row r="352" ht="15.75" customHeight="1">
      <c r="A352" s="25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</row>
    <row r="353" ht="15.75" customHeight="1">
      <c r="A353" s="25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</row>
    <row r="354" ht="15.75" customHeight="1">
      <c r="A354" s="25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</row>
    <row r="355" ht="15.75" customHeight="1">
      <c r="A355" s="25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</row>
    <row r="356" ht="15.75" customHeight="1">
      <c r="A356" s="25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</row>
    <row r="357" ht="15.75" customHeight="1">
      <c r="A357" s="25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</row>
    <row r="358" ht="15.75" customHeight="1">
      <c r="A358" s="25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</row>
    <row r="359" ht="15.75" customHeight="1">
      <c r="A359" s="25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</row>
    <row r="360" ht="15.75" customHeight="1">
      <c r="A360" s="25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</row>
    <row r="361" ht="15.75" customHeight="1">
      <c r="A361" s="25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</row>
    <row r="362" ht="15.75" customHeight="1">
      <c r="A362" s="25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</row>
    <row r="363" ht="15.75" customHeight="1">
      <c r="A363" s="25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</row>
    <row r="364" ht="15.75" customHeight="1">
      <c r="A364" s="25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</row>
    <row r="365" ht="15.75" customHeight="1">
      <c r="A365" s="25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</row>
    <row r="366" ht="15.75" customHeight="1">
      <c r="A366" s="25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</row>
    <row r="367" ht="15.75" customHeight="1">
      <c r="A367" s="25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</row>
    <row r="368" ht="15.75" customHeight="1">
      <c r="A368" s="25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</row>
    <row r="369" ht="15.75" customHeight="1">
      <c r="A369" s="25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</row>
    <row r="370" ht="15.75" customHeight="1">
      <c r="A370" s="25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</row>
    <row r="371" ht="15.75" customHeight="1">
      <c r="A371" s="25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</row>
    <row r="372" ht="15.75" customHeight="1">
      <c r="A372" s="25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</row>
    <row r="373" ht="15.75" customHeight="1">
      <c r="A373" s="25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</row>
    <row r="374" ht="15.75" customHeight="1">
      <c r="A374" s="25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</row>
    <row r="375" ht="15.75" customHeight="1">
      <c r="A375" s="25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</row>
    <row r="376" ht="15.75" customHeight="1">
      <c r="A376" s="25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</row>
    <row r="377" ht="15.75" customHeight="1">
      <c r="A377" s="25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</row>
    <row r="378" ht="15.75" customHeight="1">
      <c r="A378" s="25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</row>
    <row r="379" ht="15.75" customHeight="1">
      <c r="A379" s="25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</row>
    <row r="380" ht="15.75" customHeight="1">
      <c r="A380" s="25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</row>
    <row r="381" ht="15.75" customHeight="1">
      <c r="A381" s="25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</row>
    <row r="382" ht="15.75" customHeight="1">
      <c r="A382" s="25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</row>
    <row r="383" ht="15.75" customHeight="1">
      <c r="A383" s="25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</row>
    <row r="384" ht="15.75" customHeight="1">
      <c r="A384" s="25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</row>
    <row r="385" ht="15.75" customHeight="1">
      <c r="A385" s="25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</row>
    <row r="386" ht="15.75" customHeight="1">
      <c r="A386" s="25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</row>
    <row r="387" ht="15.75" customHeight="1">
      <c r="A387" s="25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</row>
    <row r="388" ht="15.75" customHeight="1">
      <c r="A388" s="25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</row>
    <row r="389" ht="15.75" customHeight="1">
      <c r="A389" s="25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</row>
    <row r="390" ht="15.75" customHeight="1">
      <c r="A390" s="25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</row>
    <row r="391" ht="15.75" customHeight="1">
      <c r="A391" s="25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</row>
    <row r="392" ht="15.75" customHeight="1">
      <c r="A392" s="25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</row>
    <row r="393" ht="15.75" customHeight="1">
      <c r="A393" s="25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</row>
    <row r="394" ht="15.75" customHeight="1">
      <c r="A394" s="25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</row>
    <row r="395" ht="15.75" customHeight="1">
      <c r="A395" s="25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</row>
    <row r="396" ht="15.75" customHeight="1">
      <c r="A396" s="25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</row>
    <row r="397" ht="15.75" customHeight="1">
      <c r="A397" s="25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</row>
    <row r="398" ht="15.75" customHeight="1">
      <c r="A398" s="25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</row>
    <row r="399" ht="15.75" customHeight="1">
      <c r="A399" s="25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</row>
    <row r="400" ht="15.75" customHeight="1">
      <c r="A400" s="25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</row>
    <row r="401" ht="15.75" customHeight="1">
      <c r="A401" s="25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</row>
    <row r="402" ht="15.75" customHeight="1">
      <c r="A402" s="25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</row>
    <row r="403" ht="15.75" customHeight="1">
      <c r="A403" s="25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</row>
    <row r="404" ht="15.75" customHeight="1">
      <c r="A404" s="25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</row>
    <row r="405" ht="15.75" customHeight="1">
      <c r="A405" s="25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</row>
    <row r="406" ht="15.75" customHeight="1">
      <c r="A406" s="25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</row>
    <row r="407" ht="15.75" customHeight="1">
      <c r="A407" s="25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</row>
    <row r="408" ht="15.75" customHeight="1">
      <c r="A408" s="25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</row>
    <row r="409" ht="15.75" customHeight="1">
      <c r="A409" s="25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</row>
    <row r="410" ht="15.75" customHeight="1">
      <c r="A410" s="25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</row>
    <row r="411" ht="15.75" customHeight="1">
      <c r="A411" s="25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</row>
    <row r="412" ht="15.75" customHeight="1">
      <c r="A412" s="25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</row>
    <row r="413" ht="15.75" customHeight="1">
      <c r="A413" s="25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</row>
    <row r="414" ht="15.75" customHeight="1">
      <c r="A414" s="25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</row>
    <row r="415" ht="15.75" customHeight="1">
      <c r="A415" s="25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</row>
    <row r="416" ht="15.75" customHeight="1">
      <c r="A416" s="25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</row>
    <row r="417" ht="15.75" customHeight="1">
      <c r="A417" s="25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</row>
    <row r="418" ht="15.75" customHeight="1">
      <c r="A418" s="25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</row>
    <row r="419" ht="15.75" customHeight="1">
      <c r="A419" s="25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</row>
    <row r="420" ht="15.75" customHeight="1">
      <c r="A420" s="25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</row>
    <row r="421" ht="15.75" customHeight="1">
      <c r="A421" s="25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</row>
    <row r="422" ht="15.75" customHeight="1">
      <c r="A422" s="25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</row>
    <row r="423" ht="15.75" customHeight="1">
      <c r="A423" s="25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</row>
    <row r="424" ht="15.75" customHeight="1">
      <c r="A424" s="25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</row>
    <row r="425" ht="15.75" customHeight="1">
      <c r="A425" s="25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</row>
    <row r="426" ht="15.75" customHeight="1">
      <c r="A426" s="25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</row>
    <row r="427" ht="15.75" customHeight="1">
      <c r="A427" s="25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</row>
    <row r="428" ht="15.75" customHeight="1">
      <c r="A428" s="25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</row>
    <row r="429" ht="15.75" customHeight="1">
      <c r="A429" s="25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</row>
    <row r="430" ht="15.75" customHeight="1">
      <c r="A430" s="25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</row>
    <row r="431" ht="15.75" customHeight="1">
      <c r="A431" s="25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</row>
    <row r="432" ht="15.75" customHeight="1">
      <c r="A432" s="25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</row>
    <row r="433" ht="15.75" customHeight="1">
      <c r="A433" s="25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</row>
    <row r="434" ht="15.75" customHeight="1">
      <c r="A434" s="25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</row>
    <row r="435" ht="15.75" customHeight="1">
      <c r="A435" s="25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</row>
    <row r="436" ht="15.75" customHeight="1">
      <c r="A436" s="25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</row>
    <row r="437" ht="15.75" customHeight="1">
      <c r="A437" s="25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</row>
    <row r="438" ht="15.75" customHeight="1">
      <c r="A438" s="25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</row>
    <row r="439" ht="15.75" customHeight="1">
      <c r="A439" s="25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</row>
    <row r="440" ht="15.75" customHeight="1">
      <c r="A440" s="25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 ht="15.75" customHeight="1">
      <c r="A441" s="25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</row>
    <row r="442" ht="15.75" customHeight="1">
      <c r="A442" s="25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</row>
    <row r="443" ht="15.75" customHeight="1">
      <c r="A443" s="25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</row>
    <row r="444" ht="15.75" customHeight="1">
      <c r="A444" s="25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</row>
    <row r="445" ht="15.75" customHeight="1">
      <c r="A445" s="25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</row>
    <row r="446" ht="15.75" customHeight="1">
      <c r="A446" s="25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 ht="15.75" customHeight="1">
      <c r="A447" s="25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</row>
    <row r="448" ht="15.75" customHeight="1">
      <c r="A448" s="25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</row>
    <row r="449" ht="15.75" customHeight="1">
      <c r="A449" s="25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</row>
    <row r="450" ht="15.75" customHeight="1">
      <c r="A450" s="25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</row>
    <row r="451" ht="15.75" customHeight="1">
      <c r="A451" s="25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</row>
    <row r="452" ht="15.75" customHeight="1">
      <c r="A452" s="25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</row>
    <row r="453" ht="15.75" customHeight="1">
      <c r="A453" s="25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</row>
    <row r="454" ht="15.75" customHeight="1">
      <c r="A454" s="25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</row>
    <row r="455" ht="15.75" customHeight="1">
      <c r="A455" s="25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</row>
    <row r="456" ht="15.75" customHeight="1">
      <c r="A456" s="25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</row>
    <row r="457" ht="15.75" customHeight="1">
      <c r="A457" s="25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</row>
    <row r="458" ht="15.75" customHeight="1">
      <c r="A458" s="25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</row>
    <row r="459" ht="15.75" customHeight="1">
      <c r="A459" s="25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</row>
    <row r="460" ht="15.75" customHeight="1">
      <c r="A460" s="25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</row>
    <row r="461" ht="15.75" customHeight="1">
      <c r="A461" s="25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</row>
    <row r="462" ht="15.75" customHeight="1">
      <c r="A462" s="25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</row>
    <row r="463" ht="15.75" customHeight="1">
      <c r="A463" s="25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</row>
    <row r="464" ht="15.75" customHeight="1">
      <c r="A464" s="25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</row>
    <row r="465" ht="15.75" customHeight="1">
      <c r="A465" s="25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</row>
    <row r="466" ht="15.75" customHeight="1">
      <c r="A466" s="25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</row>
    <row r="467" ht="15.75" customHeight="1">
      <c r="A467" s="25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</row>
    <row r="468" ht="15.75" customHeight="1">
      <c r="A468" s="25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</row>
    <row r="469" ht="15.75" customHeight="1">
      <c r="A469" s="25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</row>
    <row r="470" ht="15.75" customHeight="1">
      <c r="A470" s="25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</row>
    <row r="471" ht="15.75" customHeight="1">
      <c r="A471" s="25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</row>
    <row r="472" ht="15.75" customHeight="1">
      <c r="A472" s="25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</row>
    <row r="473" ht="15.75" customHeight="1">
      <c r="A473" s="25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</row>
    <row r="474" ht="15.75" customHeight="1">
      <c r="A474" s="25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</row>
    <row r="475" ht="15.75" customHeight="1">
      <c r="A475" s="25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</row>
    <row r="476" ht="15.75" customHeight="1">
      <c r="A476" s="25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</row>
    <row r="477" ht="15.75" customHeight="1">
      <c r="A477" s="25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</row>
    <row r="478" ht="15.75" customHeight="1">
      <c r="A478" s="25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</row>
    <row r="479" ht="15.75" customHeight="1">
      <c r="A479" s="25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</row>
    <row r="480" ht="15.75" customHeight="1">
      <c r="A480" s="25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</row>
    <row r="481" ht="15.75" customHeight="1">
      <c r="A481" s="25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</row>
    <row r="482" ht="15.75" customHeight="1">
      <c r="A482" s="25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</row>
    <row r="483" ht="15.75" customHeight="1">
      <c r="A483" s="25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</row>
    <row r="484" ht="15.75" customHeight="1">
      <c r="A484" s="25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</row>
    <row r="485" ht="15.75" customHeight="1">
      <c r="A485" s="25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</row>
    <row r="486" ht="15.75" customHeight="1">
      <c r="A486" s="25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</row>
    <row r="487" ht="15.75" customHeight="1">
      <c r="A487" s="25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</row>
    <row r="488" ht="15.75" customHeight="1">
      <c r="A488" s="25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 ht="15.75" customHeight="1">
      <c r="A489" s="25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</row>
    <row r="490" ht="15.75" customHeight="1">
      <c r="A490" s="25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</row>
    <row r="491" ht="15.75" customHeight="1">
      <c r="A491" s="25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</row>
    <row r="492" ht="15.75" customHeight="1">
      <c r="A492" s="25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</row>
    <row r="493" ht="15.75" customHeight="1">
      <c r="A493" s="25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</row>
    <row r="494" ht="15.75" customHeight="1">
      <c r="A494" s="25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</row>
    <row r="495" ht="15.75" customHeight="1">
      <c r="A495" s="25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 ht="15.75" customHeight="1">
      <c r="A496" s="25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</row>
    <row r="497" ht="15.75" customHeight="1">
      <c r="A497" s="25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</row>
    <row r="498" ht="15.75" customHeight="1">
      <c r="A498" s="25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</row>
    <row r="499" ht="15.75" customHeight="1">
      <c r="A499" s="25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</row>
    <row r="500" ht="15.75" customHeight="1">
      <c r="A500" s="25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</row>
    <row r="501" ht="15.75" customHeight="1">
      <c r="A501" s="25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</row>
    <row r="502" ht="15.75" customHeight="1">
      <c r="A502" s="25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</row>
    <row r="503" ht="15.75" customHeight="1">
      <c r="A503" s="25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</row>
    <row r="504" ht="15.75" customHeight="1">
      <c r="A504" s="25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</row>
    <row r="505" ht="15.75" customHeight="1">
      <c r="A505" s="25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</row>
    <row r="506" ht="15.75" customHeight="1">
      <c r="A506" s="25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</row>
    <row r="507" ht="15.75" customHeight="1">
      <c r="A507" s="25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</row>
    <row r="508" ht="15.75" customHeight="1">
      <c r="A508" s="25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</row>
    <row r="509" ht="15.75" customHeight="1">
      <c r="A509" s="25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</row>
    <row r="510" ht="15.75" customHeight="1">
      <c r="A510" s="25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</row>
    <row r="511" ht="15.75" customHeight="1">
      <c r="A511" s="25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</row>
    <row r="512" ht="15.75" customHeight="1">
      <c r="A512" s="25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 ht="15.75" customHeight="1">
      <c r="A513" s="25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</row>
    <row r="514" ht="15.75" customHeight="1">
      <c r="A514" s="25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</row>
    <row r="515" ht="15.75" customHeight="1">
      <c r="A515" s="25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</row>
    <row r="516" ht="15.75" customHeight="1">
      <c r="A516" s="25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</row>
    <row r="517" ht="15.75" customHeight="1">
      <c r="A517" s="25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</row>
    <row r="518" ht="15.75" customHeight="1">
      <c r="A518" s="25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</row>
    <row r="519" ht="15.75" customHeight="1">
      <c r="A519" s="25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</row>
    <row r="520" ht="15.75" customHeight="1">
      <c r="A520" s="25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</row>
    <row r="521" ht="15.75" customHeight="1">
      <c r="A521" s="25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 ht="15.75" customHeight="1">
      <c r="A522" s="25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 ht="15.75" customHeight="1">
      <c r="A523" s="25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</row>
    <row r="524" ht="15.75" customHeight="1">
      <c r="A524" s="25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</row>
    <row r="525" ht="15.75" customHeight="1">
      <c r="A525" s="25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 ht="15.75" customHeight="1">
      <c r="A526" s="25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 ht="15.75" customHeight="1">
      <c r="A527" s="25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</row>
    <row r="528" ht="15.75" customHeight="1">
      <c r="A528" s="25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</row>
    <row r="529" ht="15.75" customHeight="1">
      <c r="A529" s="25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</row>
    <row r="530" ht="15.75" customHeight="1">
      <c r="A530" s="25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</row>
    <row r="531" ht="15.75" customHeight="1">
      <c r="A531" s="25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</row>
    <row r="532" ht="15.75" customHeight="1">
      <c r="A532" s="25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</row>
    <row r="533" ht="15.75" customHeight="1">
      <c r="A533" s="25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</row>
    <row r="534" ht="15.75" customHeight="1">
      <c r="A534" s="25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</row>
    <row r="535" ht="15.75" customHeight="1">
      <c r="A535" s="25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</row>
    <row r="536" ht="15.75" customHeight="1">
      <c r="A536" s="25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 ht="15.75" customHeight="1">
      <c r="A537" s="25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</row>
    <row r="538" ht="15.75" customHeight="1">
      <c r="A538" s="25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</row>
    <row r="539" ht="15.75" customHeight="1">
      <c r="A539" s="25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</row>
    <row r="540" ht="15.75" customHeight="1">
      <c r="A540" s="25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</row>
    <row r="541" ht="15.75" customHeight="1">
      <c r="A541" s="25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</row>
    <row r="542" ht="15.75" customHeight="1">
      <c r="A542" s="25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</row>
    <row r="543" ht="15.75" customHeight="1">
      <c r="A543" s="25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</row>
    <row r="544" ht="15.75" customHeight="1">
      <c r="A544" s="25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 ht="15.75" customHeight="1">
      <c r="A545" s="25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</row>
    <row r="546" ht="15.75" customHeight="1">
      <c r="A546" s="25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</row>
    <row r="547" ht="15.75" customHeight="1">
      <c r="A547" s="25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</row>
    <row r="548" ht="15.75" customHeight="1">
      <c r="A548" s="25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</row>
    <row r="549" ht="15.75" customHeight="1">
      <c r="A549" s="25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</row>
    <row r="550" ht="15.75" customHeight="1">
      <c r="A550" s="25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</row>
    <row r="551" ht="15.75" customHeight="1">
      <c r="A551" s="25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</row>
    <row r="552" ht="15.75" customHeight="1">
      <c r="A552" s="25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</row>
    <row r="553" ht="15.75" customHeight="1">
      <c r="A553" s="25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</row>
    <row r="554" ht="15.75" customHeight="1">
      <c r="A554" s="25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</row>
    <row r="555" ht="15.75" customHeight="1">
      <c r="A555" s="25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</row>
    <row r="556" ht="15.75" customHeight="1">
      <c r="A556" s="25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</row>
    <row r="557" ht="15.75" customHeight="1">
      <c r="A557" s="25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</row>
    <row r="558" ht="15.75" customHeight="1">
      <c r="A558" s="25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</row>
    <row r="559" ht="15.75" customHeight="1">
      <c r="A559" s="25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</row>
    <row r="560" ht="15.75" customHeight="1">
      <c r="A560" s="25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 ht="15.75" customHeight="1">
      <c r="A561" s="25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</row>
    <row r="562" ht="15.75" customHeight="1">
      <c r="A562" s="25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</row>
    <row r="563" ht="15.75" customHeight="1">
      <c r="A563" s="25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</row>
    <row r="564" ht="15.75" customHeight="1">
      <c r="A564" s="25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</row>
    <row r="565" ht="15.75" customHeight="1">
      <c r="A565" s="25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</row>
    <row r="566" ht="15.75" customHeight="1">
      <c r="A566" s="25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</row>
    <row r="567" ht="15.75" customHeight="1">
      <c r="A567" s="25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</row>
    <row r="568" ht="15.75" customHeight="1">
      <c r="A568" s="25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</row>
    <row r="569" ht="15.75" customHeight="1">
      <c r="A569" s="25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</row>
    <row r="570" ht="15.75" customHeight="1">
      <c r="A570" s="25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</row>
    <row r="571" ht="15.75" customHeight="1">
      <c r="A571" s="25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</row>
    <row r="572" ht="15.75" customHeight="1">
      <c r="A572" s="25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</row>
    <row r="573" ht="15.75" customHeight="1">
      <c r="A573" s="25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</row>
    <row r="574" ht="15.75" customHeight="1">
      <c r="A574" s="25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</row>
    <row r="575" ht="15.75" customHeight="1">
      <c r="A575" s="25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</row>
    <row r="576" ht="15.75" customHeight="1">
      <c r="A576" s="25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</row>
    <row r="577" ht="15.75" customHeight="1">
      <c r="A577" s="25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</row>
    <row r="578" ht="15.75" customHeight="1">
      <c r="A578" s="25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</row>
    <row r="579" ht="15.75" customHeight="1">
      <c r="A579" s="25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</row>
    <row r="580" ht="15.75" customHeight="1">
      <c r="A580" s="25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</row>
    <row r="581" ht="15.75" customHeight="1">
      <c r="A581" s="25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</row>
    <row r="582" ht="15.75" customHeight="1">
      <c r="A582" s="25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</row>
    <row r="583" ht="15.75" customHeight="1">
      <c r="A583" s="25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</row>
    <row r="584" ht="15.75" customHeight="1">
      <c r="A584" s="25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 ht="15.75" customHeight="1">
      <c r="A585" s="25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</row>
    <row r="586" ht="15.75" customHeight="1">
      <c r="A586" s="25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</row>
    <row r="587" ht="15.75" customHeight="1">
      <c r="A587" s="25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 ht="15.75" customHeight="1">
      <c r="A588" s="25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</row>
    <row r="589" ht="15.75" customHeight="1">
      <c r="A589" s="25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 ht="15.75" customHeight="1">
      <c r="A590" s="25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</row>
    <row r="591" ht="15.75" customHeight="1">
      <c r="A591" s="25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</row>
    <row r="592" ht="15.75" customHeight="1">
      <c r="A592" s="25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</row>
    <row r="593" ht="15.75" customHeight="1">
      <c r="A593" s="25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 ht="15.75" customHeight="1">
      <c r="A594" s="25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</row>
    <row r="595" ht="15.75" customHeight="1">
      <c r="A595" s="25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 ht="15.75" customHeight="1">
      <c r="A596" s="25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</row>
    <row r="597" ht="15.75" customHeight="1">
      <c r="A597" s="25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 ht="15.75" customHeight="1">
      <c r="A598" s="25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</row>
    <row r="599" ht="15.75" customHeight="1">
      <c r="A599" s="25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 ht="15.75" customHeight="1">
      <c r="A600" s="25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</row>
    <row r="601" ht="15.75" customHeight="1">
      <c r="A601" s="25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 ht="15.75" customHeight="1">
      <c r="A602" s="25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</row>
    <row r="603" ht="15.75" customHeight="1">
      <c r="A603" s="25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 ht="15.75" customHeight="1">
      <c r="A604" s="25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</row>
    <row r="605" ht="15.75" customHeight="1">
      <c r="A605" s="25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 ht="15.75" customHeight="1">
      <c r="A606" s="25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</row>
    <row r="607" ht="15.75" customHeight="1">
      <c r="A607" s="25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 ht="15.75" customHeight="1">
      <c r="A608" s="25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</row>
    <row r="609" ht="15.75" customHeight="1">
      <c r="A609" s="25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 ht="15.75" customHeight="1">
      <c r="A610" s="25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</row>
    <row r="611" ht="15.75" customHeight="1">
      <c r="A611" s="25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 ht="15.75" customHeight="1">
      <c r="A612" s="25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</row>
    <row r="613" ht="15.75" customHeight="1">
      <c r="A613" s="25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 ht="15.75" customHeight="1">
      <c r="A614" s="25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</row>
    <row r="615" ht="15.75" customHeight="1">
      <c r="A615" s="25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 ht="15.75" customHeight="1">
      <c r="A616" s="25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</row>
    <row r="617" ht="15.75" customHeight="1">
      <c r="A617" s="25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</row>
    <row r="618" ht="15.75" customHeight="1">
      <c r="A618" s="25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</row>
    <row r="619" ht="15.75" customHeight="1">
      <c r="A619" s="25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</row>
    <row r="620" ht="15.75" customHeight="1">
      <c r="A620" s="25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</row>
    <row r="621" ht="15.75" customHeight="1">
      <c r="A621" s="25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</row>
    <row r="622" ht="15.75" customHeight="1">
      <c r="A622" s="25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</row>
    <row r="623" ht="15.75" customHeight="1">
      <c r="A623" s="25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</row>
    <row r="624" ht="15.75" customHeight="1">
      <c r="A624" s="25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</row>
    <row r="625" ht="15.75" customHeight="1">
      <c r="A625" s="25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</row>
    <row r="626" ht="15.75" customHeight="1">
      <c r="A626" s="25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</row>
    <row r="627" ht="15.75" customHeight="1">
      <c r="A627" s="25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</row>
    <row r="628" ht="15.75" customHeight="1">
      <c r="A628" s="25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</row>
    <row r="629" ht="15.75" customHeight="1">
      <c r="A629" s="25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</row>
    <row r="630" ht="15.75" customHeight="1">
      <c r="A630" s="25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</row>
    <row r="631" ht="15.75" customHeight="1">
      <c r="A631" s="25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</row>
    <row r="632" ht="15.75" customHeight="1">
      <c r="A632" s="25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</row>
    <row r="633" ht="15.75" customHeight="1">
      <c r="A633" s="25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</row>
    <row r="634" ht="15.75" customHeight="1">
      <c r="A634" s="25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 ht="15.75" customHeight="1">
      <c r="A635" s="25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</row>
    <row r="636" ht="15.75" customHeight="1">
      <c r="A636" s="25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</row>
    <row r="637" ht="15.75" customHeight="1">
      <c r="A637" s="25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</row>
    <row r="638" ht="15.75" customHeight="1">
      <c r="A638" s="25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</row>
    <row r="639" ht="15.75" customHeight="1">
      <c r="A639" s="25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</row>
    <row r="640" ht="15.75" customHeight="1">
      <c r="A640" s="25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</row>
    <row r="641" ht="15.75" customHeight="1">
      <c r="A641" s="25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</row>
    <row r="642" ht="15.75" customHeight="1">
      <c r="A642" s="25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 ht="15.75" customHeight="1">
      <c r="A643" s="25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</row>
    <row r="644" ht="15.75" customHeight="1">
      <c r="A644" s="25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</row>
    <row r="645" ht="15.75" customHeight="1">
      <c r="A645" s="25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</row>
    <row r="646" ht="15.75" customHeight="1">
      <c r="A646" s="25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</row>
    <row r="647" ht="15.75" customHeight="1">
      <c r="A647" s="25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</row>
    <row r="648" ht="15.75" customHeight="1">
      <c r="A648" s="25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</row>
    <row r="649" ht="15.75" customHeight="1">
      <c r="A649" s="25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</row>
    <row r="650" ht="15.75" customHeight="1">
      <c r="A650" s="25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</row>
    <row r="651" ht="15.75" customHeight="1">
      <c r="A651" s="25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</row>
    <row r="652" ht="15.75" customHeight="1">
      <c r="A652" s="25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</row>
    <row r="653" ht="15.75" customHeight="1">
      <c r="A653" s="25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</row>
    <row r="654" ht="15.75" customHeight="1">
      <c r="A654" s="25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</row>
    <row r="655" ht="15.75" customHeight="1">
      <c r="A655" s="25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</row>
    <row r="656" ht="15.75" customHeight="1">
      <c r="A656" s="25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</row>
    <row r="657" ht="15.75" customHeight="1">
      <c r="A657" s="25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</row>
    <row r="658" ht="15.75" customHeight="1">
      <c r="A658" s="25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</row>
    <row r="659" ht="15.75" customHeight="1">
      <c r="A659" s="25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</row>
    <row r="660" ht="15.75" customHeight="1">
      <c r="A660" s="25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 ht="15.75" customHeight="1">
      <c r="A661" s="25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</row>
    <row r="662" ht="15.75" customHeight="1">
      <c r="A662" s="25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</row>
    <row r="663" ht="15.75" customHeight="1">
      <c r="A663" s="25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</row>
    <row r="664" ht="15.75" customHeight="1">
      <c r="A664" s="25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</row>
    <row r="665" ht="15.75" customHeight="1">
      <c r="A665" s="25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</row>
    <row r="666" ht="15.75" customHeight="1">
      <c r="A666" s="25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</row>
    <row r="667" ht="15.75" customHeight="1">
      <c r="A667" s="25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</row>
    <row r="668" ht="15.75" customHeight="1">
      <c r="A668" s="25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</row>
    <row r="669" ht="15.75" customHeight="1">
      <c r="A669" s="25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</row>
    <row r="670" ht="15.75" customHeight="1">
      <c r="A670" s="25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</row>
    <row r="671" ht="15.75" customHeight="1">
      <c r="A671" s="25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</row>
    <row r="672" ht="15.75" customHeight="1">
      <c r="A672" s="25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</row>
    <row r="673" ht="15.75" customHeight="1">
      <c r="A673" s="25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</row>
    <row r="674" ht="15.75" customHeight="1">
      <c r="A674" s="25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</row>
    <row r="675" ht="15.75" customHeight="1">
      <c r="A675" s="25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</row>
    <row r="676" ht="15.75" customHeight="1">
      <c r="A676" s="25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</row>
    <row r="677" ht="15.75" customHeight="1">
      <c r="A677" s="25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</row>
    <row r="678" ht="15.75" customHeight="1">
      <c r="A678" s="25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</row>
    <row r="679" ht="15.75" customHeight="1">
      <c r="A679" s="25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</row>
    <row r="680" ht="15.75" customHeight="1">
      <c r="A680" s="25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</row>
    <row r="681" ht="15.75" customHeight="1">
      <c r="A681" s="25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</row>
    <row r="682" ht="15.75" customHeight="1">
      <c r="A682" s="25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</row>
    <row r="683" ht="15.75" customHeight="1">
      <c r="A683" s="25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</row>
    <row r="684" ht="15.75" customHeight="1">
      <c r="A684" s="25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</row>
    <row r="685" ht="15.75" customHeight="1">
      <c r="A685" s="25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 ht="15.75" customHeight="1">
      <c r="A686" s="25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</row>
    <row r="687" ht="15.75" customHeight="1">
      <c r="A687" s="25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</row>
    <row r="688" ht="15.75" customHeight="1">
      <c r="A688" s="25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</row>
    <row r="689" ht="15.75" customHeight="1">
      <c r="A689" s="25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</row>
    <row r="690" ht="15.75" customHeight="1">
      <c r="A690" s="25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</row>
    <row r="691" ht="15.75" customHeight="1">
      <c r="A691" s="25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 ht="15.75" customHeight="1">
      <c r="A692" s="25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</row>
    <row r="693" ht="15.75" customHeight="1">
      <c r="A693" s="25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</row>
    <row r="694" ht="15.75" customHeight="1">
      <c r="A694" s="25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</row>
    <row r="695" ht="15.75" customHeight="1">
      <c r="A695" s="25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 ht="15.75" customHeight="1">
      <c r="A696" s="25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</row>
    <row r="697" ht="15.75" customHeight="1">
      <c r="A697" s="25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</row>
    <row r="698" ht="15.75" customHeight="1">
      <c r="A698" s="25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</row>
    <row r="699" ht="15.75" customHeight="1">
      <c r="A699" s="25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</row>
    <row r="700" ht="15.75" customHeight="1">
      <c r="A700" s="25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</row>
    <row r="701" ht="15.75" customHeight="1">
      <c r="A701" s="25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</row>
    <row r="702" ht="15.75" customHeight="1">
      <c r="A702" s="25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</row>
    <row r="703" ht="15.75" customHeight="1">
      <c r="A703" s="25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</row>
    <row r="704" ht="15.75" customHeight="1">
      <c r="A704" s="25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</row>
    <row r="705" ht="15.75" customHeight="1">
      <c r="A705" s="25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</row>
    <row r="706" ht="15.75" customHeight="1">
      <c r="A706" s="25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</row>
    <row r="707" ht="15.75" customHeight="1">
      <c r="A707" s="25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</row>
    <row r="708" ht="15.75" customHeight="1">
      <c r="A708" s="25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</row>
    <row r="709" ht="15.75" customHeight="1">
      <c r="A709" s="25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 ht="15.75" customHeight="1">
      <c r="A710" s="25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</row>
    <row r="711" ht="15.75" customHeight="1">
      <c r="A711" s="25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</row>
    <row r="712" ht="15.75" customHeight="1">
      <c r="A712" s="25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</row>
    <row r="713" ht="15.75" customHeight="1">
      <c r="A713" s="25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</row>
    <row r="714" ht="15.75" customHeight="1">
      <c r="A714" s="25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</row>
    <row r="715" ht="15.75" customHeight="1">
      <c r="A715" s="25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</row>
    <row r="716" ht="15.75" customHeight="1">
      <c r="A716" s="25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</row>
    <row r="717" ht="15.75" customHeight="1">
      <c r="A717" s="25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</row>
    <row r="718" ht="15.75" customHeight="1">
      <c r="A718" s="25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</row>
    <row r="719" ht="15.75" customHeight="1">
      <c r="A719" s="25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</row>
    <row r="720" ht="15.75" customHeight="1">
      <c r="A720" s="25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</row>
    <row r="721" ht="15.75" customHeight="1">
      <c r="A721" s="25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</row>
    <row r="722" ht="15.75" customHeight="1">
      <c r="A722" s="25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</row>
    <row r="723" ht="15.75" customHeight="1">
      <c r="A723" s="25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</row>
    <row r="724" ht="15.75" customHeight="1">
      <c r="A724" s="25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</row>
    <row r="725" ht="15.75" customHeight="1">
      <c r="A725" s="25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</row>
    <row r="726" ht="15.75" customHeight="1">
      <c r="A726" s="25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</row>
    <row r="727" ht="15.75" customHeight="1">
      <c r="A727" s="25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</row>
    <row r="728" ht="15.75" customHeight="1">
      <c r="A728" s="25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</row>
    <row r="729" ht="15.75" customHeight="1">
      <c r="A729" s="25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</row>
    <row r="730" ht="15.75" customHeight="1">
      <c r="A730" s="25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</row>
    <row r="731" ht="15.75" customHeight="1">
      <c r="A731" s="25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</row>
    <row r="732" ht="15.75" customHeight="1">
      <c r="A732" s="25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</row>
    <row r="733" ht="15.75" customHeight="1">
      <c r="A733" s="25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</row>
    <row r="734" ht="15.75" customHeight="1">
      <c r="A734" s="25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 ht="15.75" customHeight="1">
      <c r="A735" s="25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</row>
    <row r="736" ht="15.75" customHeight="1">
      <c r="A736" s="25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</row>
    <row r="737" ht="15.75" customHeight="1">
      <c r="A737" s="25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</row>
    <row r="738" ht="15.75" customHeight="1">
      <c r="A738" s="25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</row>
    <row r="739" ht="15.75" customHeight="1">
      <c r="A739" s="25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</row>
    <row r="740" ht="15.75" customHeight="1">
      <c r="A740" s="25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 ht="15.75" customHeight="1">
      <c r="A741" s="25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</row>
    <row r="742" ht="15.75" customHeight="1">
      <c r="A742" s="25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</row>
    <row r="743" ht="15.75" customHeight="1">
      <c r="A743" s="25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</row>
    <row r="744" ht="15.75" customHeight="1">
      <c r="A744" s="25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</row>
    <row r="745" ht="15.75" customHeight="1">
      <c r="A745" s="25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</row>
    <row r="746" ht="15.75" customHeight="1">
      <c r="A746" s="25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</row>
    <row r="747" ht="15.75" customHeight="1">
      <c r="A747" s="25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</row>
    <row r="748" ht="15.75" customHeight="1">
      <c r="A748" s="25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</row>
    <row r="749" ht="15.75" customHeight="1">
      <c r="A749" s="25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</row>
    <row r="750" ht="15.75" customHeight="1">
      <c r="A750" s="25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</row>
    <row r="751" ht="15.75" customHeight="1">
      <c r="A751" s="25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</row>
    <row r="752" ht="15.75" customHeight="1">
      <c r="A752" s="25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</row>
    <row r="753" ht="15.75" customHeight="1">
      <c r="A753" s="25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</row>
    <row r="754" ht="15.75" customHeight="1">
      <c r="A754" s="25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</row>
    <row r="755" ht="15.75" customHeight="1">
      <c r="A755" s="25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</row>
    <row r="756" ht="15.75" customHeight="1">
      <c r="A756" s="25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</row>
    <row r="757" ht="15.75" customHeight="1">
      <c r="A757" s="25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</row>
    <row r="758" ht="15.75" customHeight="1">
      <c r="A758" s="25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</row>
    <row r="759" ht="15.75" customHeight="1">
      <c r="A759" s="25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 ht="15.75" customHeight="1">
      <c r="A760" s="25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</row>
    <row r="761" ht="15.75" customHeight="1">
      <c r="A761" s="25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</row>
    <row r="762" ht="15.75" customHeight="1">
      <c r="A762" s="25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</row>
    <row r="763" ht="15.75" customHeight="1">
      <c r="A763" s="25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</row>
    <row r="764" ht="15.75" customHeight="1">
      <c r="A764" s="25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</row>
    <row r="765" ht="15.75" customHeight="1">
      <c r="A765" s="25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</row>
    <row r="766" ht="15.75" customHeight="1">
      <c r="A766" s="25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</row>
    <row r="767" ht="15.75" customHeight="1">
      <c r="A767" s="25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</row>
    <row r="768" ht="15.75" customHeight="1">
      <c r="A768" s="25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</row>
    <row r="769" ht="15.75" customHeight="1">
      <c r="A769" s="25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</row>
    <row r="770" ht="15.75" customHeight="1">
      <c r="A770" s="25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</row>
    <row r="771" ht="15.75" customHeight="1">
      <c r="A771" s="25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</row>
    <row r="772" ht="15.75" customHeight="1">
      <c r="A772" s="25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</row>
    <row r="773" ht="15.75" customHeight="1">
      <c r="A773" s="25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</row>
    <row r="774" ht="15.75" customHeight="1">
      <c r="A774" s="25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</row>
    <row r="775" ht="15.75" customHeight="1">
      <c r="A775" s="25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</row>
    <row r="776" ht="15.75" customHeight="1">
      <c r="A776" s="25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</row>
    <row r="777" ht="15.75" customHeight="1">
      <c r="A777" s="25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</row>
    <row r="778" ht="15.75" customHeight="1">
      <c r="A778" s="25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</row>
    <row r="779" ht="15.75" customHeight="1">
      <c r="A779" s="25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</row>
    <row r="780" ht="15.75" customHeight="1">
      <c r="A780" s="25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</row>
    <row r="781" ht="15.75" customHeight="1">
      <c r="A781" s="25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</row>
    <row r="782" ht="15.75" customHeight="1">
      <c r="A782" s="25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</row>
    <row r="783" ht="15.75" customHeight="1">
      <c r="A783" s="25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 ht="15.75" customHeight="1">
      <c r="A784" s="25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</row>
    <row r="785" ht="15.75" customHeight="1">
      <c r="A785" s="25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</row>
    <row r="786" ht="15.75" customHeight="1">
      <c r="A786" s="25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</row>
    <row r="787" ht="15.75" customHeight="1">
      <c r="A787" s="25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</row>
    <row r="788" ht="15.75" customHeight="1">
      <c r="A788" s="25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</row>
    <row r="789" ht="15.75" customHeight="1">
      <c r="A789" s="25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 ht="15.75" customHeight="1">
      <c r="A790" s="25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</row>
    <row r="791" ht="15.75" customHeight="1">
      <c r="A791" s="25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</row>
    <row r="792" ht="15.75" customHeight="1">
      <c r="A792" s="25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</row>
    <row r="793" ht="15.75" customHeight="1">
      <c r="A793" s="25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</row>
    <row r="794" ht="15.75" customHeight="1">
      <c r="A794" s="25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</row>
    <row r="795" ht="15.75" customHeight="1">
      <c r="A795" s="25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</row>
    <row r="796" ht="15.75" customHeight="1">
      <c r="A796" s="25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</row>
    <row r="797" ht="15.75" customHeight="1">
      <c r="A797" s="25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</row>
    <row r="798" ht="15.75" customHeight="1">
      <c r="A798" s="25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</row>
    <row r="799" ht="15.75" customHeight="1">
      <c r="A799" s="25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</row>
    <row r="800" ht="15.75" customHeight="1">
      <c r="A800" s="25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</row>
    <row r="801" ht="15.75" customHeight="1">
      <c r="A801" s="25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</row>
    <row r="802" ht="15.75" customHeight="1">
      <c r="A802" s="25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</row>
    <row r="803" ht="15.75" customHeight="1">
      <c r="A803" s="25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</row>
    <row r="804" ht="15.75" customHeight="1">
      <c r="A804" s="25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</row>
    <row r="805" ht="15.75" customHeight="1">
      <c r="A805" s="25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</row>
    <row r="806" ht="15.75" customHeight="1">
      <c r="A806" s="25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</row>
    <row r="807" ht="15.75" customHeight="1">
      <c r="A807" s="25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 ht="15.75" customHeight="1">
      <c r="A808" s="25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</row>
    <row r="809" ht="15.75" customHeight="1">
      <c r="A809" s="25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</row>
    <row r="810" ht="15.75" customHeight="1">
      <c r="A810" s="25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</row>
    <row r="811" ht="15.75" customHeight="1">
      <c r="A811" s="25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</row>
    <row r="812" ht="15.75" customHeight="1">
      <c r="A812" s="25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</row>
    <row r="813" ht="15.75" customHeight="1">
      <c r="A813" s="25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</row>
    <row r="814" ht="15.75" customHeight="1">
      <c r="A814" s="25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</row>
    <row r="815" ht="15.75" customHeight="1">
      <c r="A815" s="25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</row>
    <row r="816" ht="15.75" customHeight="1">
      <c r="A816" s="25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</row>
    <row r="817" ht="15.75" customHeight="1">
      <c r="A817" s="25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</row>
    <row r="818" ht="15.75" customHeight="1">
      <c r="A818" s="25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</row>
    <row r="819" ht="15.75" customHeight="1">
      <c r="A819" s="25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</row>
    <row r="820" ht="15.75" customHeight="1">
      <c r="A820" s="25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</row>
    <row r="821" ht="15.75" customHeight="1">
      <c r="A821" s="25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</row>
    <row r="822" ht="15.75" customHeight="1">
      <c r="A822" s="25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</row>
    <row r="823" ht="15.75" customHeight="1">
      <c r="A823" s="25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</row>
    <row r="824" ht="15.75" customHeight="1">
      <c r="A824" s="25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</row>
    <row r="825" ht="15.75" customHeight="1">
      <c r="A825" s="25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</row>
    <row r="826" ht="15.75" customHeight="1">
      <c r="A826" s="25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</row>
    <row r="827" ht="15.75" customHeight="1">
      <c r="A827" s="25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</row>
    <row r="828" ht="15.75" customHeight="1">
      <c r="A828" s="25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</row>
    <row r="829" ht="15.75" customHeight="1">
      <c r="A829" s="25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</row>
    <row r="830" ht="15.75" customHeight="1">
      <c r="A830" s="25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</row>
    <row r="831" ht="15.75" customHeight="1">
      <c r="A831" s="25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</row>
    <row r="832" ht="15.75" customHeight="1">
      <c r="A832" s="25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 ht="15.75" customHeight="1">
      <c r="A833" s="25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</row>
    <row r="834" ht="15.75" customHeight="1">
      <c r="A834" s="25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</row>
    <row r="835" ht="15.75" customHeight="1">
      <c r="A835" s="25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</row>
    <row r="836" ht="15.75" customHeight="1">
      <c r="A836" s="25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</row>
    <row r="837" ht="15.75" customHeight="1">
      <c r="A837" s="25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</row>
    <row r="838" ht="15.75" customHeight="1">
      <c r="A838" s="25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 ht="15.75" customHeight="1">
      <c r="A839" s="25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</row>
    <row r="840" ht="15.75" customHeight="1">
      <c r="A840" s="25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</row>
    <row r="841" ht="15.75" customHeight="1">
      <c r="A841" s="25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</row>
    <row r="842" ht="15.75" customHeight="1">
      <c r="A842" s="25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</row>
    <row r="843" ht="15.75" customHeight="1">
      <c r="A843" s="25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</row>
    <row r="844" ht="15.75" customHeight="1">
      <c r="A844" s="25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</row>
    <row r="845" ht="15.75" customHeight="1">
      <c r="A845" s="25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</row>
    <row r="846" ht="15.75" customHeight="1">
      <c r="A846" s="25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</row>
    <row r="847" ht="15.75" customHeight="1">
      <c r="A847" s="25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</row>
    <row r="848" ht="15.75" customHeight="1">
      <c r="A848" s="25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</row>
    <row r="849" ht="15.75" customHeight="1">
      <c r="A849" s="25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</row>
    <row r="850" ht="15.75" customHeight="1">
      <c r="A850" s="25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</row>
    <row r="851" ht="15.75" customHeight="1">
      <c r="A851" s="25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</row>
    <row r="852" ht="15.75" customHeight="1">
      <c r="A852" s="25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</row>
    <row r="853" ht="15.75" customHeight="1">
      <c r="A853" s="25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</row>
    <row r="854" ht="15.75" customHeight="1">
      <c r="A854" s="25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</row>
    <row r="855" ht="15.75" customHeight="1">
      <c r="A855" s="25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</row>
    <row r="856" ht="15.75" customHeight="1">
      <c r="A856" s="25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</row>
    <row r="857" ht="15.75" customHeight="1">
      <c r="A857" s="25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 ht="15.75" customHeight="1">
      <c r="A858" s="25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</row>
    <row r="859" ht="15.75" customHeight="1">
      <c r="A859" s="25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</row>
    <row r="860" ht="15.75" customHeight="1">
      <c r="A860" s="25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</row>
    <row r="861" ht="15.75" customHeight="1">
      <c r="A861" s="25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</row>
    <row r="862" ht="15.75" customHeight="1">
      <c r="A862" s="25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</row>
    <row r="863" ht="15.75" customHeight="1">
      <c r="A863" s="25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</row>
    <row r="864" ht="15.75" customHeight="1">
      <c r="A864" s="25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</row>
    <row r="865" ht="15.75" customHeight="1">
      <c r="A865" s="25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</row>
    <row r="866" ht="15.75" customHeight="1">
      <c r="A866" s="25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</row>
    <row r="867" ht="15.75" customHeight="1">
      <c r="A867" s="25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</row>
    <row r="868" ht="15.75" customHeight="1">
      <c r="A868" s="25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</row>
    <row r="869" ht="15.75" customHeight="1">
      <c r="A869" s="25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</row>
    <row r="870" ht="15.75" customHeight="1">
      <c r="A870" s="25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</row>
    <row r="871" ht="15.75" customHeight="1">
      <c r="A871" s="25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</row>
    <row r="872" ht="15.75" customHeight="1">
      <c r="A872" s="25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</row>
    <row r="873" ht="15.75" customHeight="1">
      <c r="A873" s="25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</row>
    <row r="874" ht="15.75" customHeight="1">
      <c r="A874" s="25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</row>
    <row r="875" ht="15.75" customHeight="1">
      <c r="A875" s="25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</row>
    <row r="876" ht="15.75" customHeight="1">
      <c r="A876" s="25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</row>
    <row r="877" ht="15.75" customHeight="1">
      <c r="A877" s="25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</row>
    <row r="878" ht="15.75" customHeight="1">
      <c r="A878" s="25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</row>
    <row r="879" ht="15.75" customHeight="1">
      <c r="A879" s="25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</row>
    <row r="880" ht="15.75" customHeight="1">
      <c r="A880" s="25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</row>
    <row r="881" ht="15.75" customHeight="1">
      <c r="A881" s="25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</row>
    <row r="882" ht="15.75" customHeight="1">
      <c r="A882" s="25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 ht="15.75" customHeight="1">
      <c r="A883" s="25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</row>
    <row r="884" ht="15.75" customHeight="1">
      <c r="A884" s="25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</row>
    <row r="885" ht="15.75" customHeight="1">
      <c r="A885" s="25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</row>
    <row r="886" ht="15.75" customHeight="1">
      <c r="A886" s="25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</row>
    <row r="887" ht="15.75" customHeight="1">
      <c r="A887" s="25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 ht="15.75" customHeight="1">
      <c r="A888" s="25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</row>
    <row r="889" ht="15.75" customHeight="1">
      <c r="A889" s="25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</row>
    <row r="890" ht="15.75" customHeight="1">
      <c r="A890" s="25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</row>
    <row r="891" ht="15.75" customHeight="1">
      <c r="A891" s="25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</row>
    <row r="892" ht="15.75" customHeight="1">
      <c r="A892" s="25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</row>
    <row r="893" ht="15.75" customHeight="1">
      <c r="A893" s="25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</row>
    <row r="894" ht="15.75" customHeight="1">
      <c r="A894" s="25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</row>
    <row r="895" ht="15.75" customHeight="1">
      <c r="A895" s="25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</row>
    <row r="896" ht="15.75" customHeight="1">
      <c r="A896" s="25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</row>
    <row r="897" ht="15.75" customHeight="1">
      <c r="A897" s="25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</row>
    <row r="898" ht="15.75" customHeight="1">
      <c r="A898" s="25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</row>
    <row r="899" ht="15.75" customHeight="1">
      <c r="A899" s="25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</row>
    <row r="900" ht="15.75" customHeight="1">
      <c r="A900" s="25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</row>
    <row r="901" ht="15.75" customHeight="1">
      <c r="A901" s="25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</row>
    <row r="902" ht="15.75" customHeight="1">
      <c r="A902" s="25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</row>
    <row r="903" ht="15.75" customHeight="1">
      <c r="A903" s="25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</row>
    <row r="904" ht="15.75" customHeight="1">
      <c r="A904" s="25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</row>
    <row r="905" ht="15.75" customHeight="1">
      <c r="A905" s="25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</row>
    <row r="906" ht="15.75" customHeight="1">
      <c r="A906" s="25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 ht="15.75" customHeight="1">
      <c r="A907" s="25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</row>
    <row r="908" ht="15.75" customHeight="1">
      <c r="A908" s="25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</row>
    <row r="909" ht="15.75" customHeight="1">
      <c r="A909" s="25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</row>
    <row r="910" ht="15.75" customHeight="1">
      <c r="A910" s="25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</row>
    <row r="911" ht="15.75" customHeight="1">
      <c r="A911" s="25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</row>
    <row r="912" ht="15.75" customHeight="1">
      <c r="A912" s="25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</row>
    <row r="913" ht="15.75" customHeight="1">
      <c r="A913" s="25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</row>
    <row r="914" ht="15.75" customHeight="1">
      <c r="A914" s="25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</row>
    <row r="915" ht="15.75" customHeight="1">
      <c r="A915" s="25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</row>
    <row r="916" ht="15.75" customHeight="1">
      <c r="A916" s="25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</row>
    <row r="917" ht="15.75" customHeight="1">
      <c r="A917" s="25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</row>
    <row r="918" ht="15.75" customHeight="1">
      <c r="A918" s="25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</row>
    <row r="919" ht="15.75" customHeight="1">
      <c r="A919" s="25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</row>
    <row r="920" ht="15.75" customHeight="1">
      <c r="A920" s="25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</row>
    <row r="921" ht="15.75" customHeight="1">
      <c r="A921" s="25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</row>
    <row r="922" ht="15.75" customHeight="1">
      <c r="A922" s="25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</row>
    <row r="923" ht="15.75" customHeight="1">
      <c r="A923" s="25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</row>
    <row r="924" ht="15.75" customHeight="1">
      <c r="A924" s="25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</row>
    <row r="925" ht="15.75" customHeight="1">
      <c r="A925" s="25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</row>
    <row r="926" ht="15.75" customHeight="1">
      <c r="A926" s="25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</row>
    <row r="927" ht="15.75" customHeight="1">
      <c r="A927" s="25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</row>
    <row r="928" ht="15.75" customHeight="1">
      <c r="A928" s="25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</row>
    <row r="929" ht="15.75" customHeight="1">
      <c r="A929" s="25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</row>
    <row r="930" ht="15.75" customHeight="1">
      <c r="A930" s="25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 ht="15.75" customHeight="1">
      <c r="A931" s="25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</row>
    <row r="932" ht="15.75" customHeight="1">
      <c r="A932" s="25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</row>
    <row r="933" ht="15.75" customHeight="1">
      <c r="A933" s="25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</row>
    <row r="934" ht="15.75" customHeight="1">
      <c r="A934" s="25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</row>
    <row r="935" ht="15.75" customHeight="1">
      <c r="A935" s="25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</row>
    <row r="936" ht="15.75" customHeight="1">
      <c r="A936" s="25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 ht="15.75" customHeight="1">
      <c r="A937" s="25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</row>
    <row r="938" ht="15.75" customHeight="1">
      <c r="A938" s="25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</row>
    <row r="939" ht="15.75" customHeight="1">
      <c r="A939" s="25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</row>
    <row r="940" ht="15.75" customHeight="1">
      <c r="A940" s="25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</row>
    <row r="941" ht="15.75" customHeight="1">
      <c r="A941" s="25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</row>
    <row r="942" ht="15.75" customHeight="1">
      <c r="A942" s="25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</row>
    <row r="943" ht="15.75" customHeight="1">
      <c r="A943" s="25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</row>
    <row r="944" ht="15.75" customHeight="1">
      <c r="A944" s="25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</row>
    <row r="945" ht="15.75" customHeight="1">
      <c r="A945" s="25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</row>
    <row r="946" ht="15.75" customHeight="1">
      <c r="A946" s="25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</row>
    <row r="947" ht="15.75" customHeight="1">
      <c r="A947" s="25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</row>
    <row r="948" ht="15.75" customHeight="1">
      <c r="A948" s="25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</row>
    <row r="949" ht="15.75" customHeight="1">
      <c r="A949" s="25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</row>
    <row r="950" ht="15.75" customHeight="1">
      <c r="A950" s="25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</row>
    <row r="951" ht="15.75" customHeight="1">
      <c r="A951" s="25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</row>
    <row r="952" ht="15.75" customHeight="1">
      <c r="A952" s="25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</row>
    <row r="953" ht="15.75" customHeight="1">
      <c r="A953" s="25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</row>
    <row r="954" ht="15.75" customHeight="1">
      <c r="A954" s="25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</row>
    <row r="955" ht="15.75" customHeight="1">
      <c r="A955" s="25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 ht="15.75" customHeight="1">
      <c r="A956" s="25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</row>
    <row r="957" ht="15.75" customHeight="1">
      <c r="A957" s="25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</row>
    <row r="958" ht="15.75" customHeight="1">
      <c r="A958" s="25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</row>
    <row r="959" ht="15.75" customHeight="1">
      <c r="A959" s="25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 ht="15.75" customHeight="1">
      <c r="A960" s="25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</row>
    <row r="961" ht="15.75" customHeight="1">
      <c r="A961" s="25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 ht="15.75" customHeight="1">
      <c r="A962" s="25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</row>
    <row r="963" ht="15.75" customHeight="1">
      <c r="A963" s="25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 ht="15.75" customHeight="1">
      <c r="A964" s="25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</row>
    <row r="965" ht="15.75" customHeight="1">
      <c r="A965" s="25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 ht="15.75" customHeight="1">
      <c r="A966" s="25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</row>
    <row r="967" ht="15.75" customHeight="1">
      <c r="A967" s="25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 ht="15.75" customHeight="1">
      <c r="A968" s="25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</row>
    <row r="969" ht="15.75" customHeight="1">
      <c r="A969" s="25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 ht="15.75" customHeight="1">
      <c r="A970" s="25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</row>
    <row r="971" ht="15.75" customHeight="1">
      <c r="A971" s="25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 ht="15.75" customHeight="1">
      <c r="A972" s="25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</row>
    <row r="973" ht="15.75" customHeight="1">
      <c r="A973" s="25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 ht="15.75" customHeight="1">
      <c r="A974" s="25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</row>
    <row r="975" ht="15.75" customHeight="1">
      <c r="A975" s="25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  <row r="976" ht="15.75" customHeight="1">
      <c r="A976" s="25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</row>
    <row r="977" ht="15.75" customHeight="1">
      <c r="A977" s="25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</row>
    <row r="978" ht="15.75" customHeight="1">
      <c r="A978" s="25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</row>
    <row r="979" ht="15.75" customHeight="1">
      <c r="A979" s="25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 ht="15.75" customHeight="1">
      <c r="A980" s="25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</row>
    <row r="981" ht="15.75" customHeight="1">
      <c r="A981" s="25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</row>
    <row r="982" ht="15.75" customHeight="1">
      <c r="A982" s="25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</row>
    <row r="983" ht="15.75" customHeight="1">
      <c r="A983" s="25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</row>
    <row r="984" ht="15.75" customHeight="1">
      <c r="A984" s="25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</row>
    <row r="985" ht="15.75" customHeight="1">
      <c r="A985" s="25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 ht="15.75" customHeight="1">
      <c r="A986" s="25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</row>
    <row r="987" ht="15.75" customHeight="1">
      <c r="A987" s="25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</row>
    <row r="988" ht="15.75" customHeight="1">
      <c r="A988" s="25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</row>
    <row r="989" ht="15.75" customHeight="1">
      <c r="A989" s="25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</row>
    <row r="990" ht="15.75" customHeight="1">
      <c r="A990" s="25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</row>
    <row r="991" ht="15.75" customHeight="1">
      <c r="A991" s="25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</row>
    <row r="992" ht="15.75" customHeight="1">
      <c r="A992" s="25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</row>
    <row r="993" ht="15.75" customHeight="1">
      <c r="A993" s="25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</row>
    <row r="994" ht="15.75" customHeight="1">
      <c r="A994" s="25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</row>
    <row r="995" ht="15.75" customHeight="1">
      <c r="A995" s="25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</row>
    <row r="996" ht="15.75" customHeight="1">
      <c r="A996" s="25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</row>
    <row r="997" ht="15.75" customHeight="1">
      <c r="A997" s="25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</row>
    <row r="998" ht="15.75" customHeight="1">
      <c r="A998" s="25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</row>
    <row r="999" ht="15.75" customHeight="1">
      <c r="A999" s="25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</row>
    <row r="1000" ht="15.75" customHeight="1">
      <c r="A1000" s="25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</row>
  </sheetData>
  <drawing r:id="rId1"/>
</worksheet>
</file>